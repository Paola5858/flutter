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imulação de Carreira" sheetId="1" state="visible" r:id="rId1"/>
    <sheet xmlns:r="http://schemas.openxmlformats.org/officeDocument/2006/relationships" name="Planejamento" sheetId="2" state="visible" r:id="rId2"/>
    <sheet xmlns:r="http://schemas.openxmlformats.org/officeDocument/2006/relationships" name="Gráf. 1 - visão anual" sheetId="3" state="visible" r:id="rId3"/>
    <sheet xmlns:r="http://schemas.openxmlformats.org/officeDocument/2006/relationships" name="Gráf. 2 - dist. de despesas" sheetId="4" state="visible" r:id="rId4"/>
    <sheet xmlns:r="http://schemas.openxmlformats.org/officeDocument/2006/relationships" name="Gastos Essenciais 1. 2." sheetId="5" state="visible" r:id="rId5"/>
    <sheet xmlns:r="http://schemas.openxmlformats.org/officeDocument/2006/relationships" name="Distr. Gastos Essenciais 1" sheetId="6" state="visible" r:id="rId6"/>
    <sheet xmlns:r="http://schemas.openxmlformats.org/officeDocument/2006/relationships" name="Planilha Essenciais 2" sheetId="7" state="visible" r:id="rId7"/>
    <sheet xmlns:r="http://schemas.openxmlformats.org/officeDocument/2006/relationships" name="Poupança" sheetId="8" state="visible" r:id="rId8"/>
  </sheets>
  <definedNames>
    <definedName name="_xlchart.v1.0" hidden="1">Planejamento!$C$88:$D$92</definedName>
    <definedName name="_xlchart.v1.1" hidden="1">Planejamento!$Q$88:$Q$92</definedName>
    <definedName name="_xlchart.v1.10" hidden="1">Planejamento!$C$124:$D$128</definedName>
    <definedName name="_xlchart.v1.11" hidden="1">Planejamento!$Q$124:$Q$128</definedName>
    <definedName name="_xlchart.v1.12" hidden="1">Planejamento!$C$96:$D$99</definedName>
    <definedName name="_xlchart.v1.13" hidden="1">Planejamento!$Q$96:$Q$99</definedName>
    <definedName name="_xlchart.v1.14" hidden="1">Planejamento!$C$103:$D$110</definedName>
    <definedName name="_xlchart.v1.15" hidden="1">Planejamento!$Q$103:$Q$110</definedName>
    <definedName name="_xlchart.v1.2" hidden="1">Planejamento!$C$71:$D$84</definedName>
    <definedName name="_xlchart.v1.3" hidden="1">Planejamento!$Q$71:$Q$84</definedName>
    <definedName name="_xlchart.v1.4" hidden="1">Planejamento!$C$40:$D$52</definedName>
    <definedName name="_xlchart.v1.5" hidden="1">Planejamento!$Q$40:$Q$52</definedName>
    <definedName name="_xlchart.v1.6" hidden="1">Planejamento!$C$56:$D$66</definedName>
    <definedName name="_xlchart.v1.7" hidden="1">Planejamento!$Q$56:$Q$67</definedName>
    <definedName name="_xlchart.v1.8" hidden="1">Planejamento!$C$114:$D$118</definedName>
    <definedName name="_xlchart.v1.9" hidden="1">Planejamento!$Q$114:$Q$120</definedName>
    <definedName name="SUM">Planejamento!$E$135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-[$R$-416]\ * #,##0.00_-;\-[$R$-416]\ * #,##0.00_-;_-[$R$-416]\ * &quot;-&quot;??_-;_-@_-"/>
    <numFmt numFmtId="165" formatCode="&quot;R$ &quot;#,##0.00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Helvetica"/>
      <family val="2"/>
      <b val="1"/>
      <color rgb="FFFF5200"/>
      <sz val="16"/>
    </font>
    <font>
      <name val="Helvetica"/>
      <family val="2"/>
      <b val="1"/>
      <color rgb="FFEAE2D9"/>
      <sz val="8"/>
    </font>
    <font>
      <name val="Helvetica"/>
      <family val="2"/>
      <b val="1"/>
      <color theme="1"/>
      <sz val="16"/>
    </font>
    <font>
      <name val="Helvetica"/>
      <family val="2"/>
      <b val="1"/>
      <color theme="1"/>
      <sz val="14"/>
    </font>
    <font>
      <name val="Helvetica"/>
      <family val="2"/>
      <i val="1"/>
      <color theme="1"/>
      <sz val="10"/>
    </font>
    <font>
      <name val="Helvetica"/>
      <family val="2"/>
      <b val="1"/>
      <color theme="1"/>
      <sz val="12"/>
    </font>
    <font>
      <name val="Helvetica"/>
      <family val="2"/>
      <b val="1"/>
      <color theme="0"/>
      <sz val="12"/>
    </font>
    <font>
      <name val="Helvetica"/>
      <family val="2"/>
      <color theme="1"/>
      <sz val="12"/>
    </font>
    <font>
      <name val="Helvetica"/>
      <family val="2"/>
      <color theme="1"/>
      <sz val="10"/>
    </font>
    <font>
      <name val="Helvetica"/>
      <family val="2"/>
      <b val="1"/>
      <color rgb="FF008256"/>
      <sz val="11"/>
    </font>
    <font>
      <name val="Helvetica"/>
      <family val="2"/>
      <b val="1"/>
      <color rgb="FF0070C0"/>
      <sz val="11"/>
    </font>
    <font>
      <name val="Helvetica"/>
      <family val="2"/>
      <b val="1"/>
      <color theme="0"/>
      <sz val="14"/>
    </font>
    <font>
      <name val="Helvetica"/>
      <family val="2"/>
      <b val="1"/>
      <color rgb="FFFF5200"/>
      <sz val="20"/>
    </font>
    <font>
      <name val="Calibri"/>
      <family val="2"/>
      <color rgb="FFCD7B43"/>
      <sz val="11"/>
      <scheme val="minor"/>
    </font>
    <font>
      <name val="Helvetica"/>
      <family val="2"/>
      <b val="1"/>
      <color rgb="FFCD7B43"/>
      <sz val="11"/>
    </font>
    <font>
      <name val="Helvetica"/>
      <family val="2"/>
      <b val="1"/>
      <color theme="0"/>
      <sz val="10"/>
    </font>
    <font>
      <name val="Calibri"/>
      <family val="2"/>
      <color rgb="FF2D5857"/>
      <sz val="11"/>
      <scheme val="minor"/>
    </font>
    <font>
      <name val="Helvetica"/>
      <family val="2"/>
      <b val="1"/>
      <color rgb="FF2D5857"/>
      <sz val="11"/>
    </font>
    <font>
      <name val="Helvetica"/>
      <family val="2"/>
      <b val="1"/>
      <color rgb="FFFF795B"/>
      <sz val="11"/>
    </font>
    <font>
      <name val="Helvetica"/>
      <family val="2"/>
      <color theme="1"/>
      <sz val="16"/>
    </font>
    <font>
      <name val="Helvetica"/>
      <family val="2"/>
      <b val="1"/>
      <color theme="1"/>
      <sz val="10"/>
    </font>
    <font>
      <name val="Helvetica"/>
      <family val="2"/>
      <b val="1"/>
      <color theme="1"/>
      <sz val="13"/>
    </font>
    <font>
      <name val="Hel"/>
      <color theme="10"/>
      <sz val="16"/>
      <u val="single"/>
    </font>
    <font>
      <name val="Arial"/>
      <family val="2"/>
      <color theme="10"/>
      <sz val="16"/>
      <u val="single"/>
    </font>
    <font>
      <name val="Calibri"/>
      <family val="2"/>
      <b val="1"/>
      <color rgb="FF000000"/>
      <sz val="11"/>
    </font>
    <font>
      <name val="Calibri"/>
      <b val="1"/>
      <color rgb="FFFFFFFF"/>
      <sz val="11"/>
    </font>
    <font>
      <name val="Calibri"/>
      <family val="2"/>
      <b val="1"/>
      <color theme="0"/>
      <sz val="22"/>
      <scheme val="minor"/>
    </font>
    <font>
      <b val="1"/>
      <color rgb="001F4E78"/>
      <sz val="16"/>
    </font>
    <font>
      <i val="1"/>
      <color rgb="00595959"/>
      <sz val="12"/>
    </font>
    <font>
      <b val="1"/>
      <color rgb="00FFFFFF"/>
      <sz val="12"/>
    </font>
    <font>
      <b val="1"/>
    </font>
    <font>
      <b val="1"/>
      <sz val="14"/>
    </font>
  </fonts>
  <fills count="45">
    <fill>
      <patternFill/>
    </fill>
    <fill>
      <patternFill patternType="gray125"/>
    </fill>
    <fill>
      <patternFill patternType="solid">
        <fgColor rgb="FFFF52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E2D9"/>
        <bgColor indexed="64"/>
      </patternFill>
    </fill>
    <fill>
      <patternFill patternType="solid">
        <fgColor rgb="FF00B465"/>
        <bgColor indexed="64"/>
      </patternFill>
    </fill>
    <fill>
      <patternFill patternType="solid">
        <fgColor rgb="FFA4C2B9"/>
        <bgColor indexed="64"/>
      </patternFill>
    </fill>
    <fill>
      <patternFill patternType="solid">
        <fgColor rgb="FFC1E1D7"/>
        <bgColor indexed="64"/>
      </patternFill>
    </fill>
    <fill>
      <patternFill patternType="solid">
        <fgColor rgb="FF9193FF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EAEAFF"/>
        <bgColor indexed="64"/>
      </patternFill>
    </fill>
    <fill>
      <patternFill patternType="solid">
        <fgColor rgb="FFCD7B43"/>
        <bgColor indexed="64"/>
      </patternFill>
    </fill>
    <fill>
      <patternFill patternType="solid">
        <fgColor rgb="FFF0E1C5"/>
        <bgColor indexed="64"/>
      </patternFill>
    </fill>
    <fill>
      <patternFill patternType="solid">
        <fgColor rgb="FFF6EEE0"/>
        <bgColor indexed="64"/>
      </patternFill>
    </fill>
    <fill>
      <patternFill patternType="solid">
        <fgColor rgb="FFFF795B"/>
        <bgColor indexed="64"/>
      </patternFill>
    </fill>
    <fill>
      <patternFill patternType="solid">
        <fgColor rgb="FF008256"/>
        <bgColor indexed="64"/>
      </patternFill>
    </fill>
    <fill>
      <patternFill patternType="solid">
        <fgColor rgb="FF2D5857"/>
        <bgColor indexed="64"/>
      </patternFill>
    </fill>
    <fill>
      <patternFill patternType="solid">
        <fgColor rgb="FFC9EAE0"/>
        <bgColor indexed="64"/>
      </patternFill>
    </fill>
    <fill>
      <patternFill patternType="solid">
        <fgColor rgb="FFE6FFF7"/>
        <bgColor indexed="64"/>
      </patternFill>
    </fill>
    <fill>
      <patternFill patternType="solid">
        <fgColor rgb="FFFFAF95"/>
        <bgColor indexed="64"/>
      </patternFill>
    </fill>
    <fill>
      <patternFill patternType="solid">
        <fgColor rgb="FFFFD6C9"/>
        <bgColor indexed="64"/>
      </patternFill>
    </fill>
    <fill>
      <patternFill patternType="solid">
        <fgColor rgb="FF00B466"/>
        <bgColor indexed="64"/>
      </patternFill>
    </fill>
    <fill>
      <patternFill patternType="solid">
        <fgColor rgb="FFFF27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DD8FC"/>
        <bgColor indexed="64"/>
      </patternFill>
    </fill>
    <fill>
      <patternFill patternType="solid">
        <fgColor rgb="FFF4B9AF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4CCCC"/>
        <bgColor rgb="FFF4CCCC"/>
      </patternFill>
    </fill>
    <fill>
      <patternFill patternType="solid">
        <fgColor rgb="FFE3D0F1"/>
        <bgColor indexed="64"/>
      </patternFill>
    </fill>
    <fill>
      <patternFill patternType="solid">
        <fgColor rgb="FFC7A2E3"/>
        <bgColor indexed="64"/>
      </patternFill>
    </fill>
    <fill>
      <patternFill patternType="solid">
        <fgColor rgb="FFAB73D5"/>
        <bgColor indexed="64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theme="0" tint="-0.249977111117893"/>
      </bottom>
      <diagonal/>
    </border>
    <border>
      <left/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000000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rgb="FF000000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403151"/>
      </left>
      <right style="thin">
        <color rgb="FF403151"/>
      </right>
      <top style="thin">
        <color rgb="FF403151"/>
      </top>
      <bottom style="thin">
        <color rgb="FF403151"/>
      </bottom>
      <diagonal/>
    </border>
    <border>
      <left/>
      <right style="thin">
        <color rgb="FF505050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6" fillId="0" borderId="0"/>
    <xf numFmtId="0" fontId="6" fillId="0" borderId="0"/>
  </cellStyleXfs>
  <cellXfs count="15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3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indent="1"/>
    </xf>
    <xf numFmtId="164" fontId="17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17" fillId="0" borderId="4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3" fillId="0" borderId="0" applyAlignment="1" pivotButton="0" quotePrefix="0" xfId="0">
      <alignment horizontal="center" vertical="center" textRotation="90" wrapText="1"/>
    </xf>
    <xf numFmtId="0" fontId="24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23" fillId="0" borderId="0" applyAlignment="1" pivotButton="0" quotePrefix="0" xfId="0">
      <alignment vertical="center" textRotation="90" wrapText="1"/>
    </xf>
    <xf numFmtId="0" fontId="27" fillId="0" borderId="0" pivotButton="0" quotePrefix="0" xfId="0"/>
    <xf numFmtId="164" fontId="16" fillId="18" borderId="1" applyAlignment="1" pivotButton="0" quotePrefix="0" xfId="0">
      <alignment vertical="center"/>
    </xf>
    <xf numFmtId="10" fontId="10" fillId="23" borderId="1" applyAlignment="1" pivotButton="0" quotePrefix="0" xfId="0">
      <alignment horizontal="center" vertical="center"/>
    </xf>
    <xf numFmtId="10" fontId="10" fillId="26" borderId="3" applyAlignment="1" pivotButton="0" quotePrefix="0" xfId="0">
      <alignment horizontal="center" vertical="center"/>
    </xf>
    <xf numFmtId="164" fontId="16" fillId="12" borderId="4" applyAlignment="1" pivotButton="0" quotePrefix="0" xfId="0">
      <alignment vertical="center"/>
    </xf>
    <xf numFmtId="164" fontId="16" fillId="13" borderId="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0" fontId="0" fillId="0" borderId="0" pivotButton="0" quotePrefix="0" xfId="0"/>
    <xf numFmtId="164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5" fillId="17" borderId="0" applyAlignment="1" pivotButton="0" quotePrefix="0" xfId="0">
      <alignment horizontal="left" vertical="center"/>
    </xf>
    <xf numFmtId="0" fontId="15" fillId="18" borderId="0" applyAlignment="1" pivotButton="0" quotePrefix="0" xfId="0">
      <alignment horizontal="left" vertical="center"/>
    </xf>
    <xf numFmtId="0" fontId="15" fillId="19" borderId="0" applyAlignment="1" pivotButton="0" quotePrefix="0" xfId="0">
      <alignment horizontal="left" vertical="center"/>
    </xf>
    <xf numFmtId="0" fontId="15" fillId="20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15" fillId="6" borderId="0" applyAlignment="1" pivotButton="0" quotePrefix="0" xfId="0">
      <alignment vertical="center"/>
    </xf>
    <xf numFmtId="0" fontId="15" fillId="7" borderId="0" applyAlignment="1" pivotButton="0" quotePrefix="0" xfId="0">
      <alignment vertical="center"/>
    </xf>
    <xf numFmtId="0" fontId="15" fillId="9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164" fontId="16" fillId="6" borderId="5" applyAlignment="1" pivotButton="0" quotePrefix="0" xfId="0">
      <alignment vertical="center"/>
    </xf>
    <xf numFmtId="164" fontId="16" fillId="7" borderId="5" applyAlignment="1" pivotButton="0" quotePrefix="0" xfId="0">
      <alignment vertical="center"/>
    </xf>
    <xf numFmtId="164" fontId="16" fillId="7" borderId="6" applyAlignment="1" pivotButton="0" quotePrefix="0" xfId="0">
      <alignment vertical="center"/>
    </xf>
    <xf numFmtId="164" fontId="16" fillId="6" borderId="7" applyAlignment="1" pivotButton="0" quotePrefix="0" xfId="0">
      <alignment vertical="center"/>
    </xf>
    <xf numFmtId="164" fontId="16" fillId="7" borderId="7" applyAlignment="1" pivotButton="0" quotePrefix="0" xfId="0">
      <alignment vertical="center"/>
    </xf>
    <xf numFmtId="164" fontId="16" fillId="6" borderId="6" applyAlignment="1" pivotButton="0" quotePrefix="0" xfId="0">
      <alignment vertical="center"/>
    </xf>
    <xf numFmtId="164" fontId="17" fillId="0" borderId="6" applyAlignment="1" pivotButton="0" quotePrefix="0" xfId="0">
      <alignment vertical="center"/>
    </xf>
    <xf numFmtId="164" fontId="16" fillId="9" borderId="7" applyAlignment="1" pivotButton="0" quotePrefix="0" xfId="0">
      <alignment vertical="center"/>
    </xf>
    <xf numFmtId="164" fontId="16" fillId="10" borderId="7" applyAlignment="1" pivotButton="0" quotePrefix="0" xfId="0">
      <alignment vertical="center"/>
    </xf>
    <xf numFmtId="164" fontId="16" fillId="10" borderId="6" applyAlignment="1" pivotButton="0" quotePrefix="0" xfId="0">
      <alignment vertical="center"/>
    </xf>
    <xf numFmtId="164" fontId="16" fillId="9" borderId="6" applyAlignment="1" pivotButton="0" quotePrefix="0" xfId="0">
      <alignment vertical="center"/>
    </xf>
    <xf numFmtId="164" fontId="18" fillId="0" borderId="7" applyAlignment="1" pivotButton="0" quotePrefix="0" xfId="0">
      <alignment vertical="center"/>
    </xf>
    <xf numFmtId="164" fontId="16" fillId="17" borderId="7" applyAlignment="1" pivotButton="0" quotePrefix="0" xfId="0">
      <alignment vertical="center"/>
    </xf>
    <xf numFmtId="164" fontId="16" fillId="18" borderId="7" applyAlignment="1" pivotButton="0" quotePrefix="0" xfId="0">
      <alignment vertical="center"/>
    </xf>
    <xf numFmtId="164" fontId="25" fillId="0" borderId="7" applyAlignment="1" pivotButton="0" quotePrefix="0" xfId="0">
      <alignment vertical="center"/>
    </xf>
    <xf numFmtId="164" fontId="16" fillId="19" borderId="7" applyAlignment="1" pivotButton="0" quotePrefix="0" xfId="0">
      <alignment vertical="center"/>
    </xf>
    <xf numFmtId="164" fontId="16" fillId="20" borderId="7" applyAlignment="1" pivotButton="0" quotePrefix="0" xfId="0">
      <alignment vertical="center"/>
    </xf>
    <xf numFmtId="164" fontId="26" fillId="0" borderId="7" applyAlignment="1" pivotButton="0" quotePrefix="0" xfId="0">
      <alignment vertical="center"/>
    </xf>
    <xf numFmtId="164" fontId="16" fillId="13" borderId="7" applyAlignment="1" pivotButton="0" quotePrefix="0" xfId="0">
      <alignment vertical="center"/>
    </xf>
    <xf numFmtId="164" fontId="16" fillId="12" borderId="7" applyAlignment="1" pivotButton="0" quotePrefix="0" xfId="0">
      <alignment vertical="center"/>
    </xf>
    <xf numFmtId="164" fontId="22" fillId="0" borderId="7" applyAlignment="1" pivotButton="0" quotePrefix="0" xfId="0">
      <alignment vertical="center"/>
    </xf>
    <xf numFmtId="164" fontId="16" fillId="18" borderId="8" applyAlignment="1" pivotButton="0" quotePrefix="0" xfId="0">
      <alignment vertical="center"/>
    </xf>
    <xf numFmtId="164" fontId="16" fillId="24" borderId="9" applyAlignment="1" pivotButton="0" quotePrefix="0" xfId="0">
      <alignment vertical="center"/>
    </xf>
    <xf numFmtId="164" fontId="16" fillId="25" borderId="9" applyAlignment="1" pivotButton="0" quotePrefix="0" xfId="0">
      <alignment vertical="center"/>
    </xf>
    <xf numFmtId="164" fontId="28" fillId="27" borderId="10" applyAlignment="1" pivotButton="0" quotePrefix="0" xfId="0">
      <alignment vertical="center"/>
    </xf>
    <xf numFmtId="164" fontId="16" fillId="18" borderId="11" applyAlignment="1" pivotButton="0" quotePrefix="0" xfId="0">
      <alignment vertical="center"/>
    </xf>
    <xf numFmtId="164" fontId="16" fillId="12" borderId="6" applyAlignment="1" pivotButton="0" quotePrefix="0" xfId="0">
      <alignment vertical="center"/>
    </xf>
    <xf numFmtId="164" fontId="16" fillId="13" borderId="6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5" fillId="18" borderId="0" applyAlignment="1" pivotButton="0" quotePrefix="0" xfId="0">
      <alignment vertical="center"/>
    </xf>
    <xf numFmtId="0" fontId="15" fillId="17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4" fillId="21" borderId="1" applyAlignment="1" pivotButton="0" quotePrefix="0" xfId="0">
      <alignment vertical="center"/>
    </xf>
    <xf numFmtId="0" fontId="14" fillId="8" borderId="2" applyAlignment="1" pivotButton="0" quotePrefix="0" xfId="0">
      <alignment vertical="center"/>
    </xf>
    <xf numFmtId="0" fontId="14" fillId="22" borderId="2" applyAlignment="1" pivotButton="0" quotePrefix="0" xfId="0">
      <alignment vertical="center"/>
    </xf>
    <xf numFmtId="0" fontId="28" fillId="27" borderId="3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11" fillId="4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/>
    </xf>
    <xf numFmtId="0" fontId="15" fillId="19" borderId="0" applyAlignment="1" pivotButton="0" quotePrefix="0" xfId="0">
      <alignment vertical="center"/>
    </xf>
    <xf numFmtId="0" fontId="15" fillId="20" borderId="0" applyAlignment="1" pivotButton="0" quotePrefix="0" xfId="0">
      <alignment vertical="center"/>
    </xf>
    <xf numFmtId="0" fontId="15" fillId="13" borderId="0" applyAlignment="1" pivotButton="0" quotePrefix="0" xfId="0">
      <alignment vertical="center"/>
    </xf>
    <xf numFmtId="0" fontId="15" fillId="12" borderId="0" applyAlignment="1" pivotButton="0" quotePrefix="0" xfId="0">
      <alignment vertical="center"/>
    </xf>
    <xf numFmtId="0" fontId="29" fillId="23" borderId="1" applyAlignment="1" pivotButton="0" quotePrefix="0" xfId="0">
      <alignment vertical="center"/>
    </xf>
    <xf numFmtId="0" fontId="29" fillId="26" borderId="3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5" fillId="10" borderId="0" applyAlignment="1" pivotButton="0" quotePrefix="0" xfId="0">
      <alignment vertical="center"/>
    </xf>
    <xf numFmtId="0" fontId="32" fillId="0" borderId="12" applyAlignment="1" pivotButton="0" quotePrefix="0" xfId="0">
      <alignment horizontal="center" vertical="top"/>
    </xf>
    <xf numFmtId="0" fontId="2" fillId="0" borderId="0" pivotButton="0" quotePrefix="0" xfId="0"/>
    <xf numFmtId="0" fontId="32" fillId="0" borderId="13" applyAlignment="1" pivotButton="0" quotePrefix="0" xfId="0">
      <alignment horizontal="center" vertical="top"/>
    </xf>
    <xf numFmtId="0" fontId="32" fillId="28" borderId="14" applyAlignment="1" pivotButton="0" quotePrefix="0" xfId="0">
      <alignment horizontal="center" vertical="top"/>
    </xf>
    <xf numFmtId="0" fontId="2" fillId="29" borderId="15" pivotButton="0" quotePrefix="0" xfId="0"/>
    <xf numFmtId="0" fontId="32" fillId="30" borderId="14" applyAlignment="1" pivotButton="0" quotePrefix="0" xfId="0">
      <alignment horizontal="center" vertical="top"/>
    </xf>
    <xf numFmtId="0" fontId="2" fillId="31" borderId="15" pivotButton="0" quotePrefix="0" xfId="0"/>
    <xf numFmtId="0" fontId="32" fillId="32" borderId="14" applyAlignment="1" pivotButton="0" quotePrefix="0" xfId="0">
      <alignment horizontal="center" vertical="top"/>
    </xf>
    <xf numFmtId="0" fontId="2" fillId="33" borderId="15" pivotButton="0" quotePrefix="0" xfId="0"/>
    <xf numFmtId="0" fontId="33" fillId="34" borderId="0" applyAlignment="1" pivotButton="0" quotePrefix="0" xfId="0">
      <alignment horizontal="center" vertical="center"/>
    </xf>
    <xf numFmtId="0" fontId="2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15" fillId="38" borderId="0" applyAlignment="1" pivotButton="0" quotePrefix="0" xfId="0">
      <alignment vertical="center"/>
    </xf>
    <xf numFmtId="0" fontId="15" fillId="39" borderId="0" applyAlignment="1" pivotButton="0" quotePrefix="0" xfId="0">
      <alignment vertical="center"/>
    </xf>
    <xf numFmtId="0" fontId="15" fillId="39" borderId="0" applyAlignment="1" pivotButton="0" quotePrefix="0" xfId="0">
      <alignment horizontal="left" vertical="center"/>
    </xf>
    <xf numFmtId="0" fontId="15" fillId="40" borderId="0" applyAlignment="1" pivotButton="0" quotePrefix="0" xfId="0">
      <alignment horizontal="left" vertical="center"/>
    </xf>
    <xf numFmtId="164" fontId="16" fillId="19" borderId="16" applyAlignment="1" pivotButton="0" quotePrefix="0" xfId="0">
      <alignment vertical="center"/>
    </xf>
    <xf numFmtId="164" fontId="16" fillId="20" borderId="16" applyAlignment="1" pivotButton="0" quotePrefix="0" xfId="0">
      <alignment vertical="center"/>
    </xf>
    <xf numFmtId="164" fontId="26" fillId="0" borderId="16" applyAlignment="1" pivotButton="0" quotePrefix="0" xfId="0">
      <alignment vertical="center"/>
    </xf>
    <xf numFmtId="0" fontId="34" fillId="2" borderId="0" applyAlignment="1" pivotButton="0" quotePrefix="0" xfId="0">
      <alignment vertical="center"/>
    </xf>
    <xf numFmtId="0" fontId="19" fillId="5" borderId="0" applyAlignment="1" pivotButton="0" quotePrefix="0" xfId="0">
      <alignment horizontal="center" vertical="center" textRotation="90" wrapText="1"/>
    </xf>
    <xf numFmtId="0" fontId="19" fillId="5" borderId="1" applyAlignment="1" pivotButton="0" quotePrefix="0" xfId="0">
      <alignment horizontal="center" vertical="center" textRotation="90" wrapText="1"/>
    </xf>
    <xf numFmtId="0" fontId="11" fillId="4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textRotation="90"/>
    </xf>
    <xf numFmtId="0" fontId="23" fillId="15" borderId="0" applyAlignment="1" pivotButton="0" quotePrefix="0" xfId="0">
      <alignment horizontal="center" vertical="center" textRotation="90" wrapText="1"/>
    </xf>
    <xf numFmtId="0" fontId="13" fillId="14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 wrapText="1"/>
    </xf>
    <xf numFmtId="0" fontId="19" fillId="11" borderId="0" applyAlignment="1" pivotButton="0" quotePrefix="0" xfId="0">
      <alignment horizontal="center" vertical="center" textRotation="90" wrapText="1"/>
    </xf>
    <xf numFmtId="0" fontId="31" fillId="14" borderId="0" applyAlignment="1" pivotButton="0" quotePrefix="0" xfId="2">
      <alignment horizontal="center" vertical="center"/>
    </xf>
    <xf numFmtId="0" fontId="30" fillId="19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 textRotation="90"/>
    </xf>
    <xf numFmtId="0" fontId="19" fillId="11" borderId="0" applyAlignment="1" pivotButton="0" quotePrefix="0" xfId="0">
      <alignment horizontal="center" vertical="center" textRotation="90"/>
    </xf>
    <xf numFmtId="0" fontId="19" fillId="14" borderId="0" applyAlignment="1" pivotButton="0" quotePrefix="0" xfId="0">
      <alignment horizontal="center" vertical="center" textRotation="90" wrapText="1"/>
    </xf>
    <xf numFmtId="0" fontId="19" fillId="14" borderId="0" applyAlignment="1" pivotButton="0" quotePrefix="0" xfId="0">
      <alignment horizontal="center" vertical="center" textRotation="90"/>
    </xf>
    <xf numFmtId="0" fontId="19" fillId="11" borderId="1" applyAlignment="1" pivotButton="0" quotePrefix="0" xfId="0">
      <alignment horizontal="center" vertical="center" textRotation="90"/>
    </xf>
    <xf numFmtId="0" fontId="35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37" fillId="41" borderId="0" applyAlignment="1" pivotButton="0" quotePrefix="0" xfId="0">
      <alignment horizontal="center" vertical="center" wrapText="1"/>
    </xf>
    <xf numFmtId="0" fontId="38" fillId="42" borderId="17" applyAlignment="1" pivotButton="0" quotePrefix="0" xfId="0">
      <alignment horizontal="center" vertical="center" wrapText="1"/>
    </xf>
    <xf numFmtId="165" fontId="38" fillId="42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 wrapText="1"/>
    </xf>
    <xf numFmtId="0" fontId="38" fillId="43" borderId="17" applyAlignment="1" pivotButton="0" quotePrefix="0" xfId="0">
      <alignment horizontal="center" vertical="center" wrapText="1"/>
    </xf>
    <xf numFmtId="165" fontId="38" fillId="43" borderId="17" applyAlignment="1" pivotButton="0" quotePrefix="0" xfId="0">
      <alignment horizontal="center" vertical="center" wrapText="1"/>
    </xf>
    <xf numFmtId="0" fontId="38" fillId="44" borderId="17" applyAlignment="1" pivotButton="0" quotePrefix="0" xfId="0">
      <alignment horizontal="center" vertical="center" wrapText="1"/>
    </xf>
    <xf numFmtId="165" fontId="38" fillId="44" borderId="17" applyAlignment="1" pivotButton="0" quotePrefix="0" xfId="0">
      <alignment horizontal="center" vertical="center" wrapText="1"/>
    </xf>
    <xf numFmtId="0" fontId="39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8" fillId="28" borderId="14" applyAlignment="1" pivotButton="0" quotePrefix="0" xfId="0">
      <alignment horizontal="center" vertical="top"/>
    </xf>
    <xf numFmtId="0" fontId="38" fillId="0" borderId="0" pivotButton="0" quotePrefix="0" xfId="0"/>
    <xf numFmtId="165" fontId="2" fillId="29" borderId="15" pivotButton="0" quotePrefix="0" xfId="0"/>
    <xf numFmtId="165" fontId="0" fillId="0" borderId="0" pivotButton="0" quotePrefix="0" xfId="0"/>
    <xf numFmtId="165" fontId="32" fillId="30" borderId="14" applyAlignment="1" pivotButton="0" quotePrefix="0" xfId="0">
      <alignment horizontal="center" vertical="top"/>
    </xf>
    <xf numFmtId="165" fontId="2" fillId="31" borderId="15" pivotButton="0" quotePrefix="0" xfId="0"/>
  </cellXfs>
  <cellStyles count="3">
    <cellStyle name="Normal" xfId="0" builtinId="0"/>
    <cellStyle name="Hyperlink" xfId="1"/>
    <cellStyle name="Hiperlink" xfId="2" builtinId="8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</dxf>
    <dxf>
      <border outline="0">
        <top style="thin">
          <color indexed="64"/>
        </top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top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Receitas, Investimentos, Despesas e Saldo ao longo do ano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pt-B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Planejamento!$A$133</f>
              <strCache>
                <ptCount val="1"/>
                <pt idx="0">
                  <v>Total em Receitas</v>
                </pt>
              </strCache>
            </strRef>
          </tx>
          <spPr>
            <a:ln xmlns:a="http://schemas.openxmlformats.org/drawingml/2006/main" w="28575" cap="rnd">
              <a:solidFill>
                <a:srgbClr val="FFC00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FFD966"/>
              </a:solidFill>
              <a:ln xmlns:a="http://schemas.openxmlformats.org/drawingml/2006/main" w="25400">
                <a:noFill/>
                <a:prstDash val="solid"/>
              </a:ln>
            </spPr>
          </marker>
          <cat>
            <strRef>
              <f>Planejamento!$E$1:$P$1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Planejamento!$E$133:$P$133</f>
              <numCache>
                <formatCode>General</formatCode>
                <ptCount val="12"/>
                <pt idx="0">
                  <formatCode>_-[$R$-416]\ * #,##0.00_-;\-[$R$-416]\ * #,##0.00_-;_-[$R$-416]\ * "-"??_-;_-@_-</formatCode>
                  <v>2799.27</v>
                </pt>
                <pt idx="1">
                  <formatCode>_-[$R$-416]\ * #,##0.00_-;\-[$R$-416]\ * #,##0.00_-;_-[$R$-416]\ * "-"??_-;_-@_-</formatCode>
                  <v>5434.36</v>
                </pt>
                <pt idx="2">
                  <formatCode>_-[$R$-416]\ * #,##0.00_-;\-[$R$-416]\ * #,##0.00_-;_-[$R$-416]\ * "-"??_-;_-@_-</formatCode>
                  <v>0</v>
                </pt>
                <pt idx="3">
                  <formatCode>_-[$R$-416]\ * #,##0.00_-;\-[$R$-416]\ * #,##0.00_-;_-[$R$-416]\ * "-"??_-;_-@_-</formatCode>
                  <v>0</v>
                </pt>
                <pt idx="4">
                  <formatCode>_-[$R$-416]\ * #,##0.00_-;\-[$R$-416]\ * #,##0.00_-;_-[$R$-416]\ * "-"??_-;_-@_-</formatCode>
                  <v>0</v>
                </pt>
                <pt idx="5">
                  <formatCode>_-[$R$-416]\ * #,##0.00_-;\-[$R$-416]\ * #,##0.00_-;_-[$R$-416]\ * "-"??_-;_-@_-</formatCode>
                  <v>0</v>
                </pt>
                <pt idx="6">
                  <formatCode>_-[$R$-416]\ * #,##0.00_-;\-[$R$-416]\ * #,##0.00_-;_-[$R$-416]\ * "-"??_-;_-@_-</formatCode>
                  <v>0</v>
                </pt>
                <pt idx="7">
                  <formatCode>_-[$R$-416]\ * #,##0.00_-;\-[$R$-416]\ * #,##0.00_-;_-[$R$-416]\ * "-"??_-;_-@_-</formatCode>
                  <v>0</v>
                </pt>
                <pt idx="8">
                  <formatCode>_-[$R$-416]\ * #,##0.00_-;\-[$R$-416]\ * #,##0.00_-;_-[$R$-416]\ * "-"??_-;_-@_-</formatCode>
                  <v>0</v>
                </pt>
                <pt idx="9">
                  <formatCode>_-[$R$-416]\ * #,##0.00_-;\-[$R$-416]\ * #,##0.00_-;_-[$R$-416]\ * "-"??_-;_-@_-</formatCode>
                  <v>0</v>
                </pt>
                <pt idx="10">
                  <formatCode>_-[$R$-416]\ * #,##0.00_-;\-[$R$-416]\ * #,##0.00_-;_-[$R$-416]\ * "-"??_-;_-@_-</formatCode>
                  <v>0</v>
                </pt>
                <pt idx="11">
                  <formatCode>_-[$R$-416]\ * #,##0.00_-;\-[$R$-416]\ * #,##0.00_-;_-[$R$-416]\ * "-"??_-;_-@_-</formatCode>
                  <v>0</v>
                </pt>
              </numCache>
            </numRef>
          </val>
          <smooth val="0"/>
        </ser>
        <ser>
          <idx val="1"/>
          <order val="1"/>
          <tx>
            <strRef>
              <f>Planejamento!$A$134</f>
              <strCache>
                <ptCount val="1"/>
                <pt idx="0">
                  <v>Total em Investimentos</v>
                </pt>
              </strCache>
            </strRef>
          </tx>
          <spPr>
            <a:ln xmlns:a="http://schemas.openxmlformats.org/drawingml/2006/main" w="28575" cap="rnd">
              <a:solidFill>
                <a:srgbClr val="2F75B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5B9BD5"/>
              </a:solidFill>
              <a:ln xmlns:a="http://schemas.openxmlformats.org/drawingml/2006/main" w="25400">
                <a:noFill/>
                <a:prstDash val="solid"/>
              </a:ln>
            </spPr>
          </marker>
          <cat>
            <strRef>
              <f>Planejamento!$E$1:$P$1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Planejamento!$E$134:$P$134</f>
              <numCache>
                <formatCode>General</formatCode>
                <ptCount val="12"/>
                <pt idx="0">
                  <formatCode>_-[$R$-416]\ * #,##0.00_-;\-[$R$-416]\ * #,##0.00_-;_-[$R$-416]\ * "-"??_-;_-@_-</formatCode>
                  <v>559.85</v>
                </pt>
                <pt idx="1">
                  <formatCode>_-[$R$-416]\ * #,##0.00_-;\-[$R$-416]\ * #,##0.00_-;_-[$R$-416]\ * "-"??_-;_-@_-</formatCode>
                  <v>1086.87</v>
                </pt>
                <pt idx="2">
                  <formatCode>_-[$R$-416]\ * #,##0.00_-;\-[$R$-416]\ * #,##0.00_-;_-[$R$-416]\ * "-"??_-;_-@_-</formatCode>
                  <v>0</v>
                </pt>
                <pt idx="3">
                  <formatCode>_-[$R$-416]\ * #,##0.00_-;\-[$R$-416]\ * #,##0.00_-;_-[$R$-416]\ * "-"??_-;_-@_-</formatCode>
                  <v>0</v>
                </pt>
                <pt idx="4">
                  <formatCode>_-[$R$-416]\ * #,##0.00_-;\-[$R$-416]\ * #,##0.00_-;_-[$R$-416]\ * "-"??_-;_-@_-</formatCode>
                  <v>0</v>
                </pt>
                <pt idx="5">
                  <formatCode>_-[$R$-416]\ * #,##0.00_-;\-[$R$-416]\ * #,##0.00_-;_-[$R$-416]\ * "-"??_-;_-@_-</formatCode>
                  <v>0</v>
                </pt>
                <pt idx="6">
                  <formatCode>_-[$R$-416]\ * #,##0.00_-;\-[$R$-416]\ * #,##0.00_-;_-[$R$-416]\ * "-"??_-;_-@_-</formatCode>
                  <v>0</v>
                </pt>
                <pt idx="7">
                  <formatCode>_-[$R$-416]\ * #,##0.00_-;\-[$R$-416]\ * #,##0.00_-;_-[$R$-416]\ * "-"??_-;_-@_-</formatCode>
                  <v>0</v>
                </pt>
                <pt idx="8">
                  <formatCode>_-[$R$-416]\ * #,##0.00_-;\-[$R$-416]\ * #,##0.00_-;_-[$R$-416]\ * "-"??_-;_-@_-</formatCode>
                  <v>0</v>
                </pt>
                <pt idx="9">
                  <formatCode>_-[$R$-416]\ * #,##0.00_-;\-[$R$-416]\ * #,##0.00_-;_-[$R$-416]\ * "-"??_-;_-@_-</formatCode>
                  <v>0</v>
                </pt>
                <pt idx="10">
                  <formatCode>_-[$R$-416]\ * #,##0.00_-;\-[$R$-416]\ * #,##0.00_-;_-[$R$-416]\ * "-"??_-;_-@_-</formatCode>
                  <v>0</v>
                </pt>
                <pt idx="11">
                  <formatCode>_-[$R$-416]\ * #,##0.00_-;\-[$R$-416]\ * #,##0.00_-;_-[$R$-416]\ * "-"??_-;_-@_-</formatCode>
                  <v>0</v>
                </pt>
              </numCache>
            </numRef>
          </val>
          <smooth val="0"/>
        </ser>
        <ser>
          <idx val="2"/>
          <order val="2"/>
          <tx>
            <strRef>
              <f>Planejamento!$A$135</f>
              <strCache>
                <ptCount val="1"/>
                <pt idx="0">
                  <v>Total em Despesas</v>
                </pt>
              </strCache>
            </strRef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25400">
                <a:noFill/>
                <a:prstDash val="solid"/>
              </a:ln>
            </spPr>
          </marker>
          <cat>
            <strRef>
              <f>Planejamento!$E$1:$P$1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Planejamento!$E$135:$P$135</f>
              <numCache>
                <formatCode>General</formatCode>
                <ptCount val="12"/>
                <pt idx="0">
                  <formatCode>_-[$R$-416]\ * #,##0.00_-;\-[$R$-416]\ * #,##0.00_-;_-[$R$-416]\ * "-"??_-;_-@_-</formatCode>
                  <v>2239.42</v>
                </pt>
                <pt idx="1">
                  <formatCode>_-[$R$-416]\ * #,##0.00_-;\-[$R$-416]\ * #,##0.00_-;_-[$R$-416]\ * "-"??_-;_-@_-</formatCode>
                  <v>4080.81</v>
                </pt>
                <pt idx="2">
                  <formatCode>_-[$R$-416]\ * #,##0.00_-;\-[$R$-416]\ * #,##0.00_-;_-[$R$-416]\ * "-"??_-;_-@_-</formatCode>
                  <v>0</v>
                </pt>
                <pt idx="3">
                  <formatCode>_-[$R$-416]\ * #,##0.00_-;\-[$R$-416]\ * #,##0.00_-;_-[$R$-416]\ * "-"??_-;_-@_-</formatCode>
                  <v>0</v>
                </pt>
                <pt idx="4">
                  <formatCode>_-[$R$-416]\ * #,##0.00_-;\-[$R$-416]\ * #,##0.00_-;_-[$R$-416]\ * "-"??_-;_-@_-</formatCode>
                  <v>0</v>
                </pt>
                <pt idx="5">
                  <formatCode>_-[$R$-416]\ * #,##0.00_-;\-[$R$-416]\ * #,##0.00_-;_-[$R$-416]\ * "-"??_-;_-@_-</formatCode>
                  <v>0</v>
                </pt>
                <pt idx="6">
                  <formatCode>_-[$R$-416]\ * #,##0.00_-;\-[$R$-416]\ * #,##0.00_-;_-[$R$-416]\ * "-"??_-;_-@_-</formatCode>
                  <v>0</v>
                </pt>
                <pt idx="7">
                  <formatCode>_-[$R$-416]\ * #,##0.00_-;\-[$R$-416]\ * #,##0.00_-;_-[$R$-416]\ * "-"??_-;_-@_-</formatCode>
                  <v>0</v>
                </pt>
                <pt idx="8">
                  <formatCode>_-[$R$-416]\ * #,##0.00_-;\-[$R$-416]\ * #,##0.00_-;_-[$R$-416]\ * "-"??_-;_-@_-</formatCode>
                  <v>0</v>
                </pt>
                <pt idx="9">
                  <formatCode>_-[$R$-416]\ * #,##0.00_-;\-[$R$-416]\ * #,##0.00_-;_-[$R$-416]\ * "-"??_-;_-@_-</formatCode>
                  <v>0</v>
                </pt>
                <pt idx="10">
                  <formatCode>_-[$R$-416]\ * #,##0.00_-;\-[$R$-416]\ * #,##0.00_-;_-[$R$-416]\ * "-"??_-;_-@_-</formatCode>
                  <v>0</v>
                </pt>
                <pt idx="11">
                  <formatCode>_-[$R$-416]\ * #,##0.00_-;\-[$R$-416]\ * #,##0.00_-;_-[$R$-416]\ * "-"??_-;_-@_-</formatCode>
                  <v>0</v>
                </pt>
              </numCache>
            </numRef>
          </val>
          <smooth val="0"/>
        </ser>
        <ser>
          <idx val="3"/>
          <order val="3"/>
          <tx>
            <strRef>
              <f>Planejamento!$A$136</f>
              <strCache>
                <ptCount val="1"/>
                <pt idx="0">
                  <v>Saldo</v>
                </pt>
              </strCache>
            </strRef>
          </tx>
          <spPr>
            <a:ln xmlns:a="http://schemas.openxmlformats.org/drawingml/2006/main" w="28575" cap="rnd">
              <a:solidFill>
                <a:srgbClr val="00B05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 w="25400">
                <a:noFill/>
                <a:prstDash val="solid"/>
              </a:ln>
            </spPr>
          </marker>
          <cat>
            <strRef>
              <f>Planejamento!$E$1:$P$1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Planejamento!$E$136:$P$136</f>
              <numCache>
                <formatCode>General</formatCode>
                <ptCount val="12"/>
                <pt idx="0">
                  <formatCode>_-[$R$-416]\ * #,##0.00_-;\-[$R$-416]\ * #,##0.00_-;_-[$R$-416]\ * "-"??_-;_-@_-</formatCode>
                  <v>0</v>
                </pt>
                <pt idx="1">
                  <formatCode>_-[$R$-416]\ * #,##0.00_-;\-[$R$-416]\ * #,##0.00_-;_-[$R$-416]\ * "-"??_-;_-@_-</formatCode>
                  <v>266.6799999999998</v>
                </pt>
                <pt idx="2">
                  <formatCode>_-[$R$-416]\ * #,##0.00_-;\-[$R$-416]\ * #,##0.00_-;_-[$R$-416]\ * "-"??_-;_-@_-</formatCode>
                  <v>0</v>
                </pt>
                <pt idx="3">
                  <formatCode>_-[$R$-416]\ * #,##0.00_-;\-[$R$-416]\ * #,##0.00_-;_-[$R$-416]\ * "-"??_-;_-@_-</formatCode>
                  <v>0</v>
                </pt>
                <pt idx="4">
                  <formatCode>_-[$R$-416]\ * #,##0.00_-;\-[$R$-416]\ * #,##0.00_-;_-[$R$-416]\ * "-"??_-;_-@_-</formatCode>
                  <v>0</v>
                </pt>
                <pt idx="5">
                  <formatCode>_-[$R$-416]\ * #,##0.00_-;\-[$R$-416]\ * #,##0.00_-;_-[$R$-416]\ * "-"??_-;_-@_-</formatCode>
                  <v>0</v>
                </pt>
                <pt idx="6">
                  <formatCode>_-[$R$-416]\ * #,##0.00_-;\-[$R$-416]\ * #,##0.00_-;_-[$R$-416]\ * "-"??_-;_-@_-</formatCode>
                  <v>0</v>
                </pt>
                <pt idx="7">
                  <formatCode>_-[$R$-416]\ * #,##0.00_-;\-[$R$-416]\ * #,##0.00_-;_-[$R$-416]\ * "-"??_-;_-@_-</formatCode>
                  <v>0</v>
                </pt>
                <pt idx="8">
                  <formatCode>_-[$R$-416]\ * #,##0.00_-;\-[$R$-416]\ * #,##0.00_-;_-[$R$-416]\ * "-"??_-;_-@_-</formatCode>
                  <v>0</v>
                </pt>
                <pt idx="9">
                  <formatCode>_-[$R$-416]\ * #,##0.00_-;\-[$R$-416]\ * #,##0.00_-;_-[$R$-416]\ * "-"??_-;_-@_-</formatCode>
                  <v>0</v>
                </pt>
                <pt idx="10">
                  <formatCode>_-[$R$-416]\ * #,##0.00_-;\-[$R$-416]\ * #,##0.00_-;_-[$R$-416]\ * "-"??_-;_-@_-</formatCode>
                  <v>0</v>
                </pt>
                <pt idx="11">
                  <formatCode>_-[$R$-416]\ * #,##0.00_-;\-[$R$-416]\ * #,##0.00_-;_-[$R$-416]\ * "-"??_-;_-@_-</formatCode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7750047"/>
        <axId val="1609822415"/>
      </lineChart>
      <catAx>
        <axId val="4877500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1" i="0" strike="noStrike" kern="1200" baseline="0">
                <a:solidFill>
                  <a:srgbClr val="00484D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pt-BR"/>
          </a:p>
        </txPr>
        <crossAx val="1609822415"/>
        <crosses val="autoZero"/>
        <auto val="1"/>
        <lblAlgn val="ctr"/>
        <lblOffset val="100"/>
        <noMultiLvlLbl val="0"/>
      </catAx>
      <valAx>
        <axId val="160982241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DEDED"/>
              </a:solidFill>
              <a:prstDash val="solid"/>
              <a:round/>
            </a:ln>
          </spPr>
        </majorGridlines>
        <numFmt formatCode="&quot;R$&quot;\ #,##0.0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1" i="0" strike="noStrike" kern="1200" baseline="0">
                <a:solidFill>
                  <a:srgbClr val="00484D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pt-BR"/>
          </a:p>
        </txPr>
        <crossAx val="487750047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885519090101551"/>
          <y val="0.1060133630289532"/>
          <w val="0.5818532572007886"/>
          <h val="0.050670314317614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spc="0" baseline="0">
                <a:ln>
                  <a:noFill/>
                  <a:prstDash val="solid"/>
                </a:ln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Distribuição das despesas</a:t>
            </a:r>
          </a:p>
        </rich>
      </tx>
      <layout>
        <manualLayout>
          <xMode val="edge"/>
          <yMode val="edge"/>
          <wMode val="factor"/>
          <hMode val="factor"/>
          <x val="0.2987640418543438"/>
          <y val="0.023600260416666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spc="0" baseline="0">
              <a:ln>
                <a:noFill/>
                <a:prstDash val="solid"/>
              </a:ln>
              <a:solidFill>
                <a:schemeClr val="tx1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pt-BR"/>
        </a:p>
      </txPr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0" i="0" strike="noStrike" kern="1200" baseline="0">
                    <a:ln>
                      <a:noFill/>
                      <a:prstDash val="solid"/>
                    </a:ln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(Planejamento!$A$39,Planejamento!$A$55,Planejamento!$A$70,Planejamento!$A$87,Planejamento!$A$95,Planejamento!$A$102,Planejamento!$A$113,Planejamento!$A$123)</f>
              <strCache>
                <ptCount val="8"/>
                <pt idx="0">
                  <v>Moradia</v>
                </pt>
                <pt idx="1">
                  <v>Transporte</v>
                </pt>
                <pt idx="2">
                  <v>Saúde</v>
                </pt>
                <pt idx="3">
                  <v>Educação</v>
                </pt>
                <pt idx="4">
                  <v>Alimentação</v>
                </pt>
                <pt idx="5">
                  <v>Gastos Pessoais e Entretenimento</v>
                </pt>
                <pt idx="6">
                  <v xml:space="preserve"> Cuidado Pessoal</v>
                </pt>
                <pt idx="7">
                  <v>Pets</v>
                </pt>
              </strCache>
            </strRef>
          </cat>
          <val>
            <numRef>
              <f>(Planejamento!$Q$53,Planejamento!$Q$68,Planejamento!$Q$85,Planejamento!$Q$93,Planejamento!$Q$100,Planejamento!$Q$111,Planejamento!$Q$121,Planejamento!$Q$129)</f>
              <numCache>
                <formatCode>_-[$R$-416]\ * #,##0.00_-;\-[$R$-416]\ * #,##0.00_-;_-[$R$-416]\ * "-"??_-;_-@_-</formatCode>
                <ptCount val="8"/>
                <pt idx="0">
                  <v>3252.5</v>
                </pt>
                <pt idx="1">
                  <v>507.5</v>
                </pt>
                <pt idx="2">
                  <v>150</v>
                </pt>
                <pt idx="3">
                  <v>50</v>
                </pt>
                <pt idx="4">
                  <v>1099.92</v>
                </pt>
                <pt idx="5">
                  <v>1210.31</v>
                </pt>
                <pt idx="6">
                  <v>50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25"/>
      </doughnutChart>
    </plotArea>
    <legend>
      <legendPos val="t"/>
      <layout>
        <manualLayout>
          <xMode val="edge"/>
          <yMode val="edge"/>
          <wMode val="factor"/>
          <hMode val="factor"/>
          <x val="0.1289302115977924"/>
          <y val="0.09220234041530793"/>
          <w val="0.7488544673713218"/>
          <h val="0.127278824995360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ln>
                <a:noFill/>
                <a:prstDash val="solid"/>
              </a:ln>
              <a:solidFill>
                <a:schemeClr val="tx1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>
    <from>
      <col>0</col>
      <colOff>57150</colOff>
      <row>0</row>
      <rowOff>57150</rowOff>
    </from>
    <to>
      <col>16</col>
      <colOff>207818</colOff>
      <row>22</row>
      <rowOff>34636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19050</colOff>
      <row>0</row>
      <rowOff>114300</rowOff>
    </from>
    <to>
      <col>10</col>
      <colOff>600075</colOff>
      <row>42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4</col>
      <colOff>0</colOff>
      <row>0</row>
      <rowOff>0</rowOff>
    </from>
    <to>
      <col>12</col>
      <colOff>542925</colOff>
      <row>14</row>
      <rowOff>47625</rowOff>
    </to>
    <pic>
      <nvPicPr>
        <cNvPr id="2" name="Imagem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24400" y="0"/>
          <a:ext cx="5419725" cy="2714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</col>
      <colOff>0</colOff>
      <row>16</row>
      <rowOff>0</rowOff>
    </from>
    <to>
      <col>12</col>
      <colOff>542925</colOff>
      <row>30</row>
      <rowOff>47625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24400" y="3048000"/>
          <a:ext cx="5419725" cy="2714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3</col>
      <colOff>0</colOff>
      <row>0</row>
      <rowOff>0</rowOff>
    </from>
    <to>
      <col>14</col>
      <colOff>211638</colOff>
      <row>22</row>
      <rowOff>52453</rowOff>
    </to>
    <pic>
      <nvPicPr>
        <cNvPr id="2" name="Imagem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533775" y="0"/>
          <a:ext cx="6917238" cy="42434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3</col>
      <colOff>600075</colOff>
      <row>0</row>
      <rowOff>0</rowOff>
    </from>
    <to>
      <col>15</col>
      <colOff>161925</colOff>
      <row>21</row>
      <rowOff>133350</rowOff>
    </to>
    <pic>
      <nvPicPr>
        <cNvPr id="2" name="Imagem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381625" y="0"/>
          <a:ext cx="6877050" cy="413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4</col>
      <colOff>0</colOff>
      <row>0</row>
      <rowOff>0</rowOff>
    </from>
    <to>
      <col>15</col>
      <colOff>171450</colOff>
      <row>21</row>
      <rowOff>133350</rowOff>
    </to>
    <pic>
      <nvPicPr>
        <cNvPr id="2" name="Imagem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57700" y="0"/>
          <a:ext cx="6877050" cy="413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1" displayName="Tabela1" ref="A1:B25" headerRowCount="1" totalsRowShown="0" headerRowDxfId="7" dataDxfId="5" headerRowBorderDxfId="6" tableBorderDxfId="4">
  <autoFilter ref="A1:B25"/>
  <tableColumns count="2">
    <tableColumn id="1" name="Categoria" dataDxfId="3"/>
    <tableColumn id="2" name="Gastos Essenciais (R$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32" t="inlineStr">
        <is>
          <t>MAPA DA LIBERDADE FINANCEIRA: DA CARREIRA AO TOPO</t>
        </is>
      </c>
    </row>
    <row r="2">
      <c r="A2" s="133" t="inlineStr">
        <is>
          <t>O dinheiro serve para comprar coisas ou para comprar liberdade?</t>
        </is>
      </c>
    </row>
    <row r="3">
      <c r="A3" s="134" t="inlineStr">
        <is>
          <t>CATEGORIA / DETALHAMENTO</t>
        </is>
      </c>
      <c r="B3" s="134" t="inlineStr">
        <is>
          <t>Estagiário
(R$ 800)</t>
        </is>
      </c>
      <c r="C3" s="134" t="inlineStr">
        <is>
          <t>Empregado
(R$ 2000)</t>
        </is>
      </c>
      <c r="D3" s="134" t="inlineStr">
        <is>
          <t>Progressão
(R$ 5000)</t>
        </is>
      </c>
      <c r="E3" s="134" t="inlineStr">
        <is>
          <t>Estável
(R$ 10000)</t>
        </is>
      </c>
      <c r="F3" s="134" t="inlineStr">
        <is>
          <t>Tô Ficando Bom
(R$ 20000)</t>
        </is>
      </c>
      <c r="G3" s="134" t="inlineStr">
        <is>
          <t>Agora Vai
(R$ 30000)</t>
        </is>
      </c>
    </row>
    <row r="4">
      <c r="A4" s="135" t="inlineStr">
        <is>
          <t>NECESSIDADES (50%)</t>
        </is>
      </c>
      <c r="B4" s="136" t="n">
        <v>400</v>
      </c>
      <c r="C4" s="136" t="n">
        <v>1000</v>
      </c>
      <c r="D4" s="136" t="n">
        <v>2500</v>
      </c>
      <c r="E4" s="136" t="n">
        <v>5000</v>
      </c>
      <c r="F4" s="136" t="n">
        <v>10000</v>
      </c>
      <c r="G4" s="136" t="n">
        <v>15000</v>
      </c>
    </row>
    <row r="5">
      <c r="A5" s="137" t="inlineStr">
        <is>
          <t>Detalhamento Realista</t>
        </is>
      </c>
      <c r="B5" s="137" t="inlineStr">
        <is>
          <t>• Ajuda em casa/Moradia: 200
• Busão/Transporte: 120
• Lanche/Faculdade: 80</t>
        </is>
      </c>
      <c r="C5" s="137" t="inlineStr">
        <is>
          <t>• Aluguel (Quarto/Kitnet): 600
• Supermercado: 300
• Luz/Água/Internet: 100</t>
        </is>
      </c>
      <c r="D5" s="137" t="inlineStr">
        <is>
          <t>• Aluguel/Condomínio: 1500
• Supermercado: 600
• Plano de Saúde: 250
• Contas Fixas: 150</t>
        </is>
      </c>
      <c r="E5" s="137" t="inlineStr">
        <is>
          <t>• Financiamento/Aluguel: 2500
• Mercado Premium: 1200
• Seguros/Carro: 800
• Educação/Inglês: 500</t>
        </is>
      </c>
      <c r="F5" s="137" t="inlineStr">
        <is>
          <t>• Moradia Alto Padrão: 5000
• Alimentação/Saúde: 3000
• Manutenção/Staff: 1500
• Educação Executiva: 500</t>
        </is>
      </c>
      <c r="G5" s="137" t="inlineStr">
        <is>
          <t>• Mansão/Cobertura: 8000
• Staff/Chef/Saúde: 4000
• Fixos de Luxo: 2000
• Networking/Clubes: 1000</t>
        </is>
      </c>
    </row>
    <row r="6">
      <c r="A6" s="138" t="inlineStr">
        <is>
          <t>DESEJOS (30%)</t>
        </is>
      </c>
      <c r="B6" s="139" t="n">
        <v>240</v>
      </c>
      <c r="C6" s="139" t="n">
        <v>600</v>
      </c>
      <c r="D6" s="139" t="n">
        <v>1500</v>
      </c>
      <c r="E6" s="139" t="n">
        <v>3000</v>
      </c>
      <c r="F6" s="139" t="n">
        <v>6000</v>
      </c>
      <c r="G6" s="139" t="n">
        <v>9000</v>
      </c>
    </row>
    <row r="7">
      <c r="A7" s="137" t="inlineStr">
        <is>
          <t>Detalhamento Realista</t>
        </is>
      </c>
      <c r="B7" s="137" t="inlineStr">
        <is>
          <t>• Rolê barato/Cinema: 140
• Spotify/Netflix: 100</t>
        </is>
      </c>
      <c r="C7" s="137" t="inlineStr">
        <is>
          <t>• Saídas FDS: 300
• Roupas/Mimos: 200
• Academia: 100</t>
        </is>
      </c>
      <c r="D7" s="137" t="inlineStr">
        <is>
          <t>• Viagens Curtas: 600
• Restaurantes: 500
• Hobbies/Cursos: 400</t>
        </is>
      </c>
      <c r="E7" s="137" t="inlineStr">
        <is>
          <t>• Viagens Nacionais: 1200
• Jantares/Social: 1000
• Conforto Lar: 800</t>
        </is>
      </c>
      <c r="F7" s="137" t="inlineStr">
        <is>
          <t>• Viagens Internacionais: 3000
• Lifestyle/Carro: 2000
• Doações/Presentes: 1000</t>
        </is>
      </c>
      <c r="G7" s="137" t="inlineStr">
        <is>
          <t>• Experiências VIP: 4000
• Lifestyle Elite: 3000
• Coleções/Hobbies: 2000</t>
        </is>
      </c>
    </row>
    <row r="8">
      <c r="A8" s="140" t="inlineStr">
        <is>
          <t>FUTURO / LIBERDADE (20%)</t>
        </is>
      </c>
      <c r="B8" s="141" t="n">
        <v>160</v>
      </c>
      <c r="C8" s="141" t="n">
        <v>400</v>
      </c>
      <c r="D8" s="141" t="n">
        <v>1000</v>
      </c>
      <c r="E8" s="141" t="n">
        <v>2000</v>
      </c>
      <c r="F8" s="141" t="n">
        <v>4000</v>
      </c>
      <c r="G8" s="141" t="n">
        <v>6000</v>
      </c>
    </row>
    <row r="9">
      <c r="A9" s="137" t="inlineStr">
        <is>
          <t>Detalhamento Realista</t>
        </is>
      </c>
      <c r="B9" s="137" t="inlineStr">
        <is>
          <t>• Reserva de Emergência: 160
(Foco em não se endividar)</t>
        </is>
      </c>
      <c r="C9" s="137" t="inlineStr">
        <is>
          <t>• Reserva de Emergência: 300
• Tesouro Selic: 100</t>
        </is>
      </c>
      <c r="D9" s="137" t="inlineStr">
        <is>
          <t>• Ações/FIIs: 600
• Reserva Oportunidade: 400</t>
        </is>
      </c>
      <c r="E9" s="137" t="inlineStr">
        <is>
          <t>• Carteira Diversificada: 1500
• Cripto/Internacional: 500</t>
        </is>
      </c>
      <c r="F9" s="137" t="inlineStr">
        <is>
          <t>• Investimentos Exterior: 2500
• Private Equity/Ações: 1500</t>
        </is>
      </c>
      <c r="G9" s="137" t="inlineStr">
        <is>
          <t>• Liberdade Total: 4000
• Projetos Próprios: 2000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showGridLines="0" tabSelected="1" zoomScale="77" zoomScaleNormal="77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C65" sqref="C65"/>
    </sheetView>
  </sheetViews>
  <sheetFormatPr baseColWidth="8" defaultColWidth="8.88671875" defaultRowHeight="14.4"/>
  <cols>
    <col width="11.88671875" customWidth="1" min="1" max="1"/>
    <col width="3.77734375" customWidth="1" min="2" max="2"/>
    <col width="39.109375" customWidth="1" style="7" min="3" max="3"/>
    <col width="27.44140625" customWidth="1" min="4" max="4"/>
    <col width="18.44140625" bestFit="1" customWidth="1" min="5" max="6"/>
    <col width="17.44140625" bestFit="1" customWidth="1" min="7" max="7"/>
    <col width="17.109375" bestFit="1" customWidth="1" min="8" max="8"/>
    <col width="17.44140625" bestFit="1" customWidth="1" min="9" max="9"/>
    <col width="16.5546875" bestFit="1" customWidth="1" min="10" max="10"/>
    <col width="16.5546875" customWidth="1" min="11" max="11"/>
    <col width="17.109375" bestFit="1" customWidth="1" min="12" max="12"/>
    <col width="17.44140625" bestFit="1" customWidth="1" min="13" max="13"/>
    <col width="17.109375" bestFit="1" customWidth="1" min="14" max="15"/>
    <col width="16.5546875" bestFit="1" customWidth="1" min="16" max="16"/>
    <col width="16" bestFit="1" customWidth="1" style="4" min="17" max="17"/>
  </cols>
  <sheetData>
    <row r="1" ht="30" customHeight="1">
      <c r="A1" s="142" t="inlineStr">
        <is>
          <t>PLANEJAMENTO FINANCEIRO PROFISSIONAL</t>
        </is>
      </c>
      <c r="E1" s="121" t="inlineStr">
        <is>
          <t>JAN</t>
        </is>
      </c>
      <c r="F1" s="120" t="inlineStr">
        <is>
          <t>FEV</t>
        </is>
      </c>
      <c r="G1" s="121" t="inlineStr">
        <is>
          <t>MAR</t>
        </is>
      </c>
      <c r="H1" s="120" t="inlineStr">
        <is>
          <t>ABR</t>
        </is>
      </c>
      <c r="I1" s="121" t="inlineStr">
        <is>
          <t>MAI</t>
        </is>
      </c>
      <c r="J1" s="120" t="inlineStr">
        <is>
          <t>JUN</t>
        </is>
      </c>
      <c r="K1" s="121" t="inlineStr">
        <is>
          <t>JUL</t>
        </is>
      </c>
      <c r="L1" s="120" t="inlineStr">
        <is>
          <t>AGO</t>
        </is>
      </c>
      <c r="M1" s="121" t="inlineStr">
        <is>
          <t>SET</t>
        </is>
      </c>
      <c r="N1" s="120" t="inlineStr">
        <is>
          <t>OUT</t>
        </is>
      </c>
      <c r="O1" s="121" t="inlineStr">
        <is>
          <t>NOV</t>
        </is>
      </c>
      <c r="P1" s="120" t="inlineStr">
        <is>
          <t>DEZ</t>
        </is>
      </c>
      <c r="Q1" s="126" t="inlineStr">
        <is>
          <t>TOTAIS</t>
        </is>
      </c>
    </row>
    <row r="2" ht="30" customHeight="1"/>
    <row r="3" ht="15.9" customHeight="1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</row>
    <row r="4" ht="30" customHeight="1">
      <c r="A4" s="117" t="inlineStr">
        <is>
          <t>Entradas e Investimentos</t>
        </is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9.9" customHeight="1">
      <c r="A5" s="10" t="n"/>
      <c r="B5" s="10" t="n"/>
      <c r="C5" s="10" t="n"/>
      <c r="D5" s="10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</row>
    <row r="6" ht="20.1" customHeight="1">
      <c r="A6" s="116" t="inlineStr">
        <is>
          <t>Receitas</t>
        </is>
      </c>
      <c r="B6" s="12" t="n"/>
      <c r="C6" s="72" t="inlineStr">
        <is>
          <t>Descrição</t>
        </is>
      </c>
      <c r="D6" s="7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21.9" customHeight="1">
      <c r="B7" s="12" t="n"/>
      <c r="C7" s="38" t="inlineStr">
        <is>
          <t>Salário</t>
        </is>
      </c>
      <c r="D7" s="38" t="n"/>
      <c r="E7" s="45" t="n">
        <v>2799.27</v>
      </c>
      <c r="F7" s="45" t="n">
        <v>5434.36</v>
      </c>
      <c r="G7" s="45" t="n">
        <v>0</v>
      </c>
      <c r="H7" s="45" t="n">
        <v>0</v>
      </c>
      <c r="I7" s="45" t="n">
        <v>0</v>
      </c>
      <c r="J7" s="45" t="n">
        <v>0</v>
      </c>
      <c r="K7" s="45" t="n">
        <v>0</v>
      </c>
      <c r="L7" s="45" t="n">
        <v>0</v>
      </c>
      <c r="M7" s="45" t="n">
        <v>0</v>
      </c>
      <c r="N7" s="45" t="n">
        <v>0</v>
      </c>
      <c r="O7" s="45" t="n">
        <v>0</v>
      </c>
      <c r="P7" s="45" t="n">
        <v>0</v>
      </c>
      <c r="Q7" s="31">
        <f>SUM(E7:P7)</f>
        <v/>
      </c>
    </row>
    <row r="8" ht="21.9" customHeight="1">
      <c r="B8" s="12" t="n"/>
      <c r="C8" s="39" t="inlineStr">
        <is>
          <t>13º salário / férias</t>
        </is>
      </c>
      <c r="D8" s="39" t="n"/>
      <c r="E8" s="46" t="n">
        <v>0</v>
      </c>
      <c r="F8" s="46" t="n">
        <v>0</v>
      </c>
      <c r="G8" s="46" t="n">
        <v>0</v>
      </c>
      <c r="H8" s="46" t="n">
        <v>0</v>
      </c>
      <c r="I8" s="46" t="n">
        <v>0</v>
      </c>
      <c r="J8" s="46" t="n">
        <v>0</v>
      </c>
      <c r="K8" s="46" t="n">
        <v>0</v>
      </c>
      <c r="L8" s="46" t="n">
        <v>0</v>
      </c>
      <c r="M8" s="46" t="n">
        <v>0</v>
      </c>
      <c r="N8" s="46" t="n">
        <v>0</v>
      </c>
      <c r="O8" s="46" t="n">
        <v>0</v>
      </c>
      <c r="P8" s="46" t="n">
        <v>0</v>
      </c>
      <c r="Q8" s="31">
        <f>SUM(E8:P8)</f>
        <v/>
      </c>
    </row>
    <row r="9" ht="21.9" customHeight="1">
      <c r="B9" s="12" t="n"/>
      <c r="C9" s="38" t="inlineStr">
        <is>
          <t>PLR, Bônus e Outros</t>
        </is>
      </c>
      <c r="D9" s="38" t="n"/>
      <c r="E9" s="45" t="n">
        <v>0</v>
      </c>
      <c r="F9" s="45" t="n">
        <v>0</v>
      </c>
      <c r="G9" s="45" t="n">
        <v>0</v>
      </c>
      <c r="H9" s="45" t="n">
        <v>0</v>
      </c>
      <c r="I9" s="45" t="n">
        <v>0</v>
      </c>
      <c r="J9" s="45" t="n">
        <v>0</v>
      </c>
      <c r="K9" s="45" t="n">
        <v>0</v>
      </c>
      <c r="L9" s="45" t="n">
        <v>0</v>
      </c>
      <c r="M9" s="45" t="n">
        <v>0</v>
      </c>
      <c r="N9" s="45" t="n">
        <v>0</v>
      </c>
      <c r="O9" s="45" t="n">
        <v>0</v>
      </c>
      <c r="P9" s="45" t="n">
        <v>0</v>
      </c>
      <c r="Q9" s="31">
        <f>SUM(E9:P9)</f>
        <v/>
      </c>
    </row>
    <row r="10" ht="21.9" customHeight="1">
      <c r="B10" s="12" t="n"/>
      <c r="C10" s="39" t="inlineStr">
        <is>
          <t>Receita com imóveis</t>
        </is>
      </c>
      <c r="D10" s="39" t="n"/>
      <c r="E10" s="46" t="n">
        <v>0</v>
      </c>
      <c r="F10" s="46" t="n">
        <v>0</v>
      </c>
      <c r="G10" s="46" t="n">
        <v>0</v>
      </c>
      <c r="H10" s="46" t="n">
        <v>0</v>
      </c>
      <c r="I10" s="46" t="n">
        <v>0</v>
      </c>
      <c r="J10" s="46" t="n">
        <v>0</v>
      </c>
      <c r="K10" s="46" t="n">
        <v>0</v>
      </c>
      <c r="L10" s="46" t="n">
        <v>0</v>
      </c>
      <c r="M10" s="46" t="n">
        <v>0</v>
      </c>
      <c r="N10" s="46" t="n">
        <v>0</v>
      </c>
      <c r="O10" s="46" t="n">
        <v>0</v>
      </c>
      <c r="P10" s="46" t="n">
        <v>0</v>
      </c>
      <c r="Q10" s="31">
        <f>SUM(E10:P10)</f>
        <v/>
      </c>
    </row>
    <row r="11" ht="21.9" customHeight="1">
      <c r="B11" s="12" t="n"/>
      <c r="C11" s="38" t="inlineStr">
        <is>
          <t>Freelas</t>
        </is>
      </c>
      <c r="D11" s="38" t="n"/>
      <c r="E11" s="45" t="n">
        <v>0</v>
      </c>
      <c r="F11" s="45" t="n">
        <v>0</v>
      </c>
      <c r="G11" s="45" t="n">
        <v>0</v>
      </c>
      <c r="H11" s="45" t="n">
        <v>0</v>
      </c>
      <c r="I11" s="45" t="n">
        <v>0</v>
      </c>
      <c r="J11" s="45" t="n">
        <v>0</v>
      </c>
      <c r="K11" s="45" t="n">
        <v>0</v>
      </c>
      <c r="L11" s="45" t="n">
        <v>0</v>
      </c>
      <c r="M11" s="45" t="n">
        <v>0</v>
      </c>
      <c r="N11" s="45" t="n">
        <v>0</v>
      </c>
      <c r="O11" s="45" t="n">
        <v>0</v>
      </c>
      <c r="P11" s="45" t="n">
        <v>0</v>
      </c>
      <c r="Q11" s="31">
        <f>SUM(E11:P11)</f>
        <v/>
      </c>
    </row>
    <row r="12" ht="21.9" customHeight="1">
      <c r="B12" s="12" t="n"/>
      <c r="C12" s="39" t="inlineStr">
        <is>
          <t>Pensão/Aposentadoria</t>
        </is>
      </c>
      <c r="D12" s="39" t="n"/>
      <c r="E12" s="46" t="n">
        <v>0</v>
      </c>
      <c r="F12" s="46" t="n">
        <v>0</v>
      </c>
      <c r="G12" s="46" t="n">
        <v>0</v>
      </c>
      <c r="H12" s="46" t="n">
        <v>0</v>
      </c>
      <c r="I12" s="46" t="n">
        <v>0</v>
      </c>
      <c r="J12" s="46" t="n">
        <v>0</v>
      </c>
      <c r="K12" s="46" t="n">
        <v>0</v>
      </c>
      <c r="L12" s="46" t="n">
        <v>0</v>
      </c>
      <c r="M12" s="46" t="n">
        <v>0</v>
      </c>
      <c r="N12" s="46" t="n">
        <v>0</v>
      </c>
      <c r="O12" s="46" t="n">
        <v>0</v>
      </c>
      <c r="P12" s="46" t="n">
        <v>0</v>
      </c>
      <c r="Q12" s="31">
        <f>SUM(E12:P12)</f>
        <v/>
      </c>
    </row>
    <row r="13" ht="21.9" customHeight="1">
      <c r="B13" s="12" t="n"/>
      <c r="C13" s="38" t="inlineStr">
        <is>
          <t>Outros</t>
        </is>
      </c>
      <c r="D13" s="38" t="n"/>
      <c r="E13" s="45" t="n">
        <v>0</v>
      </c>
      <c r="F13" s="45" t="n">
        <v>0</v>
      </c>
      <c r="G13" s="45" t="n">
        <v>0</v>
      </c>
      <c r="H13" s="45" t="n">
        <v>0</v>
      </c>
      <c r="I13" s="45" t="n">
        <v>0</v>
      </c>
      <c r="J13" s="45" t="n">
        <v>0</v>
      </c>
      <c r="K13" s="45" t="n">
        <v>0</v>
      </c>
      <c r="L13" s="45" t="n">
        <v>0</v>
      </c>
      <c r="M13" s="45" t="n">
        <v>0</v>
      </c>
      <c r="N13" s="45" t="n">
        <v>0</v>
      </c>
      <c r="O13" s="45" t="n">
        <v>0</v>
      </c>
      <c r="P13" s="45" t="n">
        <v>0</v>
      </c>
      <c r="Q13" s="31">
        <f>SUM(E13:P13)</f>
        <v/>
      </c>
    </row>
    <row r="14" ht="21.9" customHeight="1">
      <c r="B14" s="12" t="n"/>
      <c r="C14" s="39" t="inlineStr">
        <is>
          <t>Outros</t>
        </is>
      </c>
      <c r="D14" s="39" t="n"/>
      <c r="E14" s="46" t="n">
        <v>0</v>
      </c>
      <c r="F14" s="46" t="n">
        <v>0</v>
      </c>
      <c r="G14" s="46" t="n">
        <v>0</v>
      </c>
      <c r="H14" s="46" t="n">
        <v>0</v>
      </c>
      <c r="I14" s="46" t="n">
        <v>0</v>
      </c>
      <c r="J14" s="46" t="n">
        <v>0</v>
      </c>
      <c r="K14" s="46" t="n">
        <v>0</v>
      </c>
      <c r="L14" s="46" t="n">
        <v>0</v>
      </c>
      <c r="M14" s="46" t="n">
        <v>0</v>
      </c>
      <c r="N14" s="46" t="n">
        <v>0</v>
      </c>
      <c r="O14" s="46" t="n">
        <v>0</v>
      </c>
      <c r="P14" s="46" t="n">
        <v>0</v>
      </c>
      <c r="Q14" s="31">
        <f>SUM(E14:P14)</f>
        <v/>
      </c>
    </row>
    <row r="15" ht="21.9" customHeight="1">
      <c r="B15" s="12" t="n"/>
      <c r="C15" s="38" t="inlineStr">
        <is>
          <t>Outros</t>
        </is>
      </c>
      <c r="D15" s="38" t="n"/>
      <c r="E15" s="45" t="n">
        <v>0</v>
      </c>
      <c r="F15" s="42" t="n">
        <v>0</v>
      </c>
      <c r="G15" s="47" t="n">
        <v>0</v>
      </c>
      <c r="H15" s="45" t="n">
        <v>0</v>
      </c>
      <c r="I15" s="45" t="n">
        <v>0</v>
      </c>
      <c r="J15" s="45" t="n">
        <v>0</v>
      </c>
      <c r="K15" s="45" t="n">
        <v>0</v>
      </c>
      <c r="L15" s="45" t="n">
        <v>0</v>
      </c>
      <c r="M15" s="45" t="n">
        <v>0</v>
      </c>
      <c r="N15" s="45" t="n">
        <v>0</v>
      </c>
      <c r="O15" s="45" t="n">
        <v>0</v>
      </c>
      <c r="P15" s="45" t="n">
        <v>0</v>
      </c>
      <c r="Q15" s="31">
        <f>SUM(E15:P15)</f>
        <v/>
      </c>
    </row>
    <row r="16" ht="21.9" customHeight="1">
      <c r="B16" s="12" t="n"/>
      <c r="C16" s="39" t="inlineStr">
        <is>
          <t>Outros</t>
        </is>
      </c>
      <c r="D16" s="39" t="n"/>
      <c r="E16" s="46" t="n">
        <v>0</v>
      </c>
      <c r="F16" s="43" t="n">
        <v>0</v>
      </c>
      <c r="G16" s="44" t="n">
        <v>0</v>
      </c>
      <c r="H16" s="46" t="n">
        <v>0</v>
      </c>
      <c r="I16" s="46" t="n">
        <v>0</v>
      </c>
      <c r="J16" s="46" t="n">
        <v>0</v>
      </c>
      <c r="K16" s="46" t="n">
        <v>0</v>
      </c>
      <c r="L16" s="46" t="n">
        <v>0</v>
      </c>
      <c r="M16" s="46" t="n">
        <v>0</v>
      </c>
      <c r="N16" s="46" t="n">
        <v>0</v>
      </c>
      <c r="O16" s="46" t="n">
        <v>0</v>
      </c>
      <c r="P16" s="46" t="n">
        <v>0</v>
      </c>
      <c r="Q16" s="31">
        <f>SUM(E16:P16)</f>
        <v/>
      </c>
    </row>
    <row r="17" ht="21.9" customHeight="1">
      <c r="A17" s="143" t="n"/>
      <c r="B17" s="12" t="n"/>
      <c r="C17" s="38" t="inlineStr">
        <is>
          <t>Outros</t>
        </is>
      </c>
      <c r="D17" s="38" t="n"/>
      <c r="E17" s="45" t="n">
        <v>0</v>
      </c>
      <c r="F17" s="42" t="n">
        <v>0</v>
      </c>
      <c r="G17" s="47" t="n">
        <v>0</v>
      </c>
      <c r="H17" s="45" t="n">
        <v>0</v>
      </c>
      <c r="I17" s="45" t="n">
        <v>0</v>
      </c>
      <c r="J17" s="45" t="n">
        <v>0</v>
      </c>
      <c r="K17" s="45" t="n">
        <v>0</v>
      </c>
      <c r="L17" s="45" t="n">
        <v>0</v>
      </c>
      <c r="M17" s="45" t="n">
        <v>0</v>
      </c>
      <c r="N17" s="45" t="n">
        <v>0</v>
      </c>
      <c r="O17" s="45" t="n">
        <v>0</v>
      </c>
      <c r="P17" s="45" t="n">
        <v>0</v>
      </c>
      <c r="Q17" s="31">
        <f>SUM(E17:P17)</f>
        <v/>
      </c>
    </row>
    <row r="18" ht="27.9" customHeight="1">
      <c r="A18" s="8" t="n"/>
      <c r="B18" s="1" t="n"/>
      <c r="C18" s="91" t="inlineStr">
        <is>
          <t>Total de entradas</t>
        </is>
      </c>
      <c r="D18" s="91" t="n"/>
      <c r="E18" s="13">
        <f>SUM(E7:E17)</f>
        <v/>
      </c>
      <c r="F18" s="16">
        <f>SUM(F7:F17)</f>
        <v/>
      </c>
      <c r="G18" s="16">
        <f>SUM(G7:G17)</f>
        <v/>
      </c>
      <c r="H18" s="16">
        <f>SUM(H7:H17)</f>
        <v/>
      </c>
      <c r="I18" s="16">
        <f>SUM(I7:I17)</f>
        <v/>
      </c>
      <c r="J18" s="16">
        <f>SUM(J7:J17)</f>
        <v/>
      </c>
      <c r="K18" s="16">
        <f>SUM(K7:K17)</f>
        <v/>
      </c>
      <c r="L18" s="16">
        <f>SUM(L7:L17)</f>
        <v/>
      </c>
      <c r="M18" s="16">
        <f>SUM(M7:M17)</f>
        <v/>
      </c>
      <c r="N18" s="16">
        <f>SUM(N7:N17)</f>
        <v/>
      </c>
      <c r="O18" s="16">
        <f>SUM(O7:O17)</f>
        <v/>
      </c>
      <c r="P18" s="48">
        <f>SUM(P7:P17)</f>
        <v/>
      </c>
      <c r="Q18" s="31">
        <f>SUM(E18:P18)</f>
        <v/>
      </c>
    </row>
    <row r="19" ht="15.9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 ht="21.9" customHeight="1">
      <c r="A20" s="118" t="inlineStr">
        <is>
          <t>Investimentos</t>
        </is>
      </c>
      <c r="B20" s="1" t="n"/>
      <c r="C20" s="72" t="inlineStr">
        <is>
          <t>Descrição (do curto ao longo prazo)</t>
        </is>
      </c>
      <c r="D20" s="72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 ht="21.9" customHeight="1">
      <c r="B21" s="3" t="n"/>
      <c r="C21" s="107" t="inlineStr">
        <is>
          <t>Tesouro Selic</t>
        </is>
      </c>
      <c r="D21" s="107" t="n"/>
      <c r="E21" s="49" t="n">
        <v>279.925</v>
      </c>
      <c r="F21" s="49" t="n">
        <v>543.4349999999999</v>
      </c>
      <c r="G21" s="49" t="n">
        <v>0</v>
      </c>
      <c r="H21" s="49" t="n">
        <v>0</v>
      </c>
      <c r="I21" s="49" t="n">
        <v>0</v>
      </c>
      <c r="J21" s="49" t="n">
        <v>0</v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31">
        <f>SUM(E21:P21)</f>
        <v/>
      </c>
    </row>
    <row r="22" ht="21.9" customHeight="1">
      <c r="B22" s="3" t="n"/>
      <c r="C22" s="107" t="inlineStr">
        <is>
          <t>CDBs com liquidez diária</t>
        </is>
      </c>
      <c r="D22" s="107" t="n"/>
      <c r="E22" s="50" t="n">
        <v>279.93</v>
      </c>
      <c r="F22" s="50" t="n">
        <v>543.4349999999999</v>
      </c>
      <c r="G22" s="50" t="n">
        <v>0</v>
      </c>
      <c r="H22" s="50" t="n">
        <v>0</v>
      </c>
      <c r="I22" s="50" t="n">
        <v>0</v>
      </c>
      <c r="J22" s="50" t="n">
        <v>0</v>
      </c>
      <c r="K22" s="50" t="n">
        <v>0</v>
      </c>
      <c r="L22" s="50" t="n">
        <v>0</v>
      </c>
      <c r="M22" s="50" t="n">
        <v>0</v>
      </c>
      <c r="N22" s="50" t="n">
        <v>0</v>
      </c>
      <c r="O22" s="50" t="n">
        <v>0</v>
      </c>
      <c r="P22" s="50" t="n">
        <v>0</v>
      </c>
      <c r="Q22" s="31">
        <f>SUM(E22:P22)</f>
        <v/>
      </c>
    </row>
    <row r="23" ht="21.9" customHeight="1">
      <c r="B23" s="3" t="n"/>
      <c r="C23" s="108" t="inlineStr">
        <is>
          <t>Tesouro IPCA+</t>
        </is>
      </c>
      <c r="D23" s="108" t="n"/>
      <c r="E23" s="49" t="n">
        <v>223.94</v>
      </c>
      <c r="F23" s="49" t="n">
        <v>108.687</v>
      </c>
      <c r="G23" s="49" t="n">
        <v>0</v>
      </c>
      <c r="H23" s="49" t="n">
        <v>0</v>
      </c>
      <c r="I23" s="49" t="n">
        <v>0</v>
      </c>
      <c r="J23" s="49" t="n">
        <v>0</v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31">
        <f>SUM(E23:P23)</f>
        <v/>
      </c>
    </row>
    <row r="24" ht="21.9" customHeight="1">
      <c r="B24" s="3" t="n"/>
      <c r="C24" s="109" t="inlineStr">
        <is>
          <t>CDB de longo prazo</t>
        </is>
      </c>
      <c r="D24" s="109" t="n"/>
      <c r="E24" s="51" t="n">
        <v>167.955</v>
      </c>
      <c r="F24" s="50" t="n">
        <v>326.061</v>
      </c>
      <c r="G24" s="50" t="n">
        <v>0</v>
      </c>
      <c r="H24" s="50" t="n">
        <v>0</v>
      </c>
      <c r="I24" s="50" t="n">
        <v>0</v>
      </c>
      <c r="J24" s="50" t="n">
        <v>0</v>
      </c>
      <c r="K24" s="50" t="n">
        <v>0</v>
      </c>
      <c r="L24" s="50" t="n">
        <v>0</v>
      </c>
      <c r="M24" s="50" t="n">
        <v>0</v>
      </c>
      <c r="N24" s="50" t="n">
        <v>0</v>
      </c>
      <c r="O24" s="50" t="n">
        <v>0</v>
      </c>
      <c r="P24" s="50" t="n">
        <v>0</v>
      </c>
      <c r="Q24" s="31">
        <f>SUM(E24:P24)</f>
        <v/>
      </c>
    </row>
    <row r="25" ht="21.9" customHeight="1">
      <c r="B25" s="3" t="n"/>
      <c r="C25" s="109" t="inlineStr">
        <is>
          <t>LCIs ou LCAs isentos de IR</t>
        </is>
      </c>
      <c r="D25" s="109" t="n"/>
      <c r="E25" s="49" t="n">
        <v>167.955</v>
      </c>
      <c r="F25" s="49" t="n">
        <v>326.061</v>
      </c>
      <c r="G25" s="49" t="n">
        <v>0</v>
      </c>
      <c r="H25" s="49" t="n">
        <v>0</v>
      </c>
      <c r="I25" s="49" t="n">
        <v>0</v>
      </c>
      <c r="J25" s="49" t="n">
        <v>0</v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31">
        <f>SUM(E25:P25)</f>
        <v/>
      </c>
    </row>
    <row r="26" ht="21.9" customHeight="1">
      <c r="B26" s="3" t="n"/>
      <c r="C26" s="110" t="inlineStr">
        <is>
          <t>Fundos Imobiliários</t>
        </is>
      </c>
      <c r="D26" s="110" t="n"/>
      <c r="E26" s="51" t="n">
        <v>167.955</v>
      </c>
      <c r="F26" s="50" t="n">
        <v>326.061</v>
      </c>
      <c r="G26" s="50" t="n">
        <v>0</v>
      </c>
      <c r="H26" s="50" t="n">
        <v>0</v>
      </c>
      <c r="I26" s="50" t="n">
        <v>0</v>
      </c>
      <c r="J26" s="50" t="n">
        <v>0</v>
      </c>
      <c r="K26" s="50" t="n">
        <v>0</v>
      </c>
      <c r="L26" s="50" t="n">
        <v>0</v>
      </c>
      <c r="M26" s="50" t="n">
        <v>0</v>
      </c>
      <c r="N26" s="50" t="n">
        <v>0</v>
      </c>
      <c r="O26" s="50" t="n">
        <v>0</v>
      </c>
      <c r="P26" s="50" t="n">
        <v>0</v>
      </c>
      <c r="Q26" s="31">
        <f>SUM(E26:P26)</f>
        <v/>
      </c>
    </row>
    <row r="27" ht="21.9" customHeight="1">
      <c r="B27" s="3" t="n"/>
      <c r="C27" s="110" t="inlineStr">
        <is>
          <t>Criptomoedas</t>
        </is>
      </c>
      <c r="D27" s="110" t="n"/>
      <c r="E27" s="52" t="n">
        <v>27.9925</v>
      </c>
      <c r="F27" s="49" t="n">
        <v>54.3435</v>
      </c>
      <c r="G27" s="49" t="n">
        <v>0</v>
      </c>
      <c r="H27" s="49" t="n">
        <v>0</v>
      </c>
      <c r="I27" s="49" t="n">
        <v>0</v>
      </c>
      <c r="J27" s="49" t="n">
        <v>0</v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31">
        <f>SUM(E27:P27)</f>
        <v/>
      </c>
    </row>
    <row r="28" ht="21.9" customHeight="1">
      <c r="B28" s="3" t="n"/>
      <c r="C28" s="110" t="inlineStr">
        <is>
          <t>Moedas / Câmbio / ETFs (BOVA11, IVVB11)</t>
        </is>
      </c>
      <c r="D28" s="110" t="n"/>
      <c r="E28" s="51" t="n">
        <v>83.97750000000001</v>
      </c>
      <c r="F28" s="50" t="n">
        <v>163.0305</v>
      </c>
      <c r="G28" s="50" t="n">
        <v>0</v>
      </c>
      <c r="H28" s="50" t="n">
        <v>0</v>
      </c>
      <c r="I28" s="50" t="n">
        <v>0</v>
      </c>
      <c r="J28" s="50" t="n">
        <v>0</v>
      </c>
      <c r="K28" s="50" t="n">
        <v>0</v>
      </c>
      <c r="L28" s="50" t="n">
        <v>0</v>
      </c>
      <c r="M28" s="50" t="n">
        <v>0</v>
      </c>
      <c r="N28" s="50" t="n">
        <v>0</v>
      </c>
      <c r="O28" s="50" t="n">
        <v>0</v>
      </c>
      <c r="P28" s="50" t="n">
        <v>0</v>
      </c>
      <c r="Q28" s="31">
        <f>SUM(E28:P28)</f>
        <v/>
      </c>
    </row>
    <row r="29" ht="21.9" customHeight="1">
      <c r="B29" s="3" t="n"/>
      <c r="C29" s="110" t="inlineStr">
        <is>
          <t>Ações</t>
        </is>
      </c>
      <c r="D29" s="110" t="n"/>
      <c r="E29" s="52" t="n">
        <v>279.925</v>
      </c>
      <c r="F29" s="49" t="n">
        <v>543.4349999999999</v>
      </c>
      <c r="G29" s="49" t="n">
        <v>0</v>
      </c>
      <c r="H29" s="49" t="n">
        <v>0</v>
      </c>
      <c r="I29" s="49" t="n">
        <v>0</v>
      </c>
      <c r="J29" s="49" t="n">
        <v>0</v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31">
        <f>SUM(E29:P29)</f>
        <v/>
      </c>
    </row>
    <row r="30" ht="21.9" customHeight="1">
      <c r="B30" s="3" t="n"/>
      <c r="C30" s="41" t="inlineStr">
        <is>
          <t>Outro</t>
        </is>
      </c>
      <c r="D30" s="41" t="n"/>
      <c r="E30" s="51" t="n">
        <v>0</v>
      </c>
      <c r="F30" s="50" t="n">
        <v>0</v>
      </c>
      <c r="G30" s="50" t="n">
        <v>0</v>
      </c>
      <c r="H30" s="50" t="n">
        <v>0</v>
      </c>
      <c r="I30" s="50" t="n">
        <v>0</v>
      </c>
      <c r="J30" s="50" t="n">
        <v>0</v>
      </c>
      <c r="K30" s="50" t="n">
        <v>0</v>
      </c>
      <c r="L30" s="50" t="n">
        <v>0</v>
      </c>
      <c r="M30" s="50" t="n">
        <v>0</v>
      </c>
      <c r="N30" s="50" t="n">
        <v>0</v>
      </c>
      <c r="O30" s="50" t="n">
        <v>0</v>
      </c>
      <c r="P30" s="50" t="n">
        <v>0</v>
      </c>
      <c r="Q30" s="31">
        <f>SUM(E30:P30)</f>
        <v/>
      </c>
    </row>
    <row r="31" ht="21.9" customHeight="1">
      <c r="B31" s="3" t="n"/>
      <c r="C31" s="40" t="inlineStr">
        <is>
          <t>Outro</t>
        </is>
      </c>
      <c r="D31" s="40" t="n"/>
      <c r="E31" s="49" t="n">
        <v>0</v>
      </c>
      <c r="F31" s="49" t="n">
        <v>0</v>
      </c>
      <c r="G31" s="49" t="n">
        <v>0</v>
      </c>
      <c r="H31" s="49" t="n">
        <v>0</v>
      </c>
      <c r="I31" s="49" t="n">
        <v>0</v>
      </c>
      <c r="J31" s="49" t="n">
        <v>0</v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31">
        <f>SUM(E31:P31)</f>
        <v/>
      </c>
    </row>
    <row r="32" ht="21.9" customHeight="1">
      <c r="B32" s="3" t="n"/>
      <c r="C32" s="41" t="inlineStr">
        <is>
          <t>Outro</t>
        </is>
      </c>
      <c r="D32" s="41" t="n"/>
      <c r="E32" s="51" t="n">
        <v>0</v>
      </c>
      <c r="F32" s="50" t="n">
        <v>0</v>
      </c>
      <c r="G32" s="50" t="n">
        <v>0</v>
      </c>
      <c r="H32" s="50" t="n">
        <v>0</v>
      </c>
      <c r="I32" s="50" t="n">
        <v>0</v>
      </c>
      <c r="J32" s="50" t="n">
        <v>0</v>
      </c>
      <c r="K32" s="50" t="n">
        <v>0</v>
      </c>
      <c r="L32" s="50" t="n">
        <v>0</v>
      </c>
      <c r="M32" s="50" t="n">
        <v>0</v>
      </c>
      <c r="N32" s="50" t="n">
        <v>0</v>
      </c>
      <c r="O32" s="50" t="n">
        <v>0</v>
      </c>
      <c r="P32" s="50" t="n">
        <v>0</v>
      </c>
      <c r="Q32" s="31">
        <f>SUM(E32:P32)</f>
        <v/>
      </c>
    </row>
    <row r="33" ht="21.9" customHeight="1">
      <c r="B33" s="3" t="n"/>
      <c r="C33" s="40" t="inlineStr">
        <is>
          <t>Outro</t>
        </is>
      </c>
      <c r="D33" s="40" t="n"/>
      <c r="E33" s="49" t="n">
        <v>0</v>
      </c>
      <c r="F33" s="49" t="n">
        <v>0</v>
      </c>
      <c r="G33" s="49" t="n">
        <v>0</v>
      </c>
      <c r="H33" s="49" t="n">
        <v>0</v>
      </c>
      <c r="I33" s="49" t="n">
        <v>0</v>
      </c>
      <c r="J33" s="49" t="n">
        <v>0</v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31">
        <f>SUM(E33:P33)</f>
        <v/>
      </c>
    </row>
    <row r="34" ht="21.9" customHeight="1">
      <c r="B34" s="3" t="n"/>
      <c r="C34" s="93" t="inlineStr">
        <is>
          <t>Outro</t>
        </is>
      </c>
      <c r="D34" s="93" t="n"/>
      <c r="E34" s="50" t="n">
        <v>0</v>
      </c>
      <c r="F34" s="50" t="n">
        <v>0</v>
      </c>
      <c r="G34" s="50" t="n">
        <v>0</v>
      </c>
      <c r="H34" s="50" t="n">
        <v>0</v>
      </c>
      <c r="I34" s="50" t="n">
        <v>0</v>
      </c>
      <c r="J34" s="50" t="n">
        <v>0</v>
      </c>
      <c r="K34" s="50" t="n">
        <v>0</v>
      </c>
      <c r="L34" s="50" t="n">
        <v>0</v>
      </c>
      <c r="M34" s="50" t="n">
        <v>0</v>
      </c>
      <c r="N34" s="50" t="n">
        <v>0</v>
      </c>
      <c r="O34" s="50" t="n">
        <v>0</v>
      </c>
      <c r="P34" s="50" t="n">
        <v>0</v>
      </c>
      <c r="Q34" s="31">
        <f>SUM(E34:P34)</f>
        <v/>
      </c>
    </row>
    <row r="35" ht="27.9" customHeight="1">
      <c r="A35" s="1" t="n"/>
      <c r="B35" s="3" t="n"/>
      <c r="C35" s="92" t="inlineStr">
        <is>
          <t>Total de investimentos</t>
        </is>
      </c>
      <c r="D35" s="92" t="n"/>
      <c r="E35" s="53">
        <f>SUM(E26:E29)</f>
        <v/>
      </c>
      <c r="F35" s="53">
        <f>SUM(F26:F29)</f>
        <v/>
      </c>
      <c r="G35" s="53">
        <f>SUM(G21:G34)</f>
        <v/>
      </c>
      <c r="H35" s="53">
        <f>SUM(H21:H34)</f>
        <v/>
      </c>
      <c r="I35" s="53">
        <f>SUM(I21:I34)</f>
        <v/>
      </c>
      <c r="J35" s="53">
        <f>SUM(J21:J34)</f>
        <v/>
      </c>
      <c r="K35" s="53">
        <f>SUM(K21:K34)</f>
        <v/>
      </c>
      <c r="L35" s="53">
        <f>SUM(L21:L34)</f>
        <v/>
      </c>
      <c r="M35" s="53">
        <f>SUM(M21:M34)</f>
        <v/>
      </c>
      <c r="N35" s="53">
        <f>SUM(N21:N34)</f>
        <v/>
      </c>
      <c r="O35" s="53">
        <f>SUM(O21:O34)</f>
        <v/>
      </c>
      <c r="P35" s="53">
        <f>SUM(P21:P34)</f>
        <v/>
      </c>
      <c r="Q35" s="31">
        <f>SUM(E35:P35)</f>
        <v/>
      </c>
    </row>
    <row r="36" ht="15.9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 ht="30" customHeight="1">
      <c r="A37" s="117" t="inlineStr">
        <is>
          <t>Despesas Fixas, Variáveis e Extras</t>
        </is>
      </c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  <c r="P37" s="70" t="n"/>
    </row>
    <row r="38" ht="9.9" customFormat="1" customHeight="1" s="77"/>
    <row r="39" ht="21.9" customFormat="1" customHeight="1" s="14">
      <c r="A39" s="131" t="inlineStr">
        <is>
          <t>Moradia</t>
        </is>
      </c>
      <c r="C39" s="72" t="inlineStr">
        <is>
          <t>Descrição</t>
        </is>
      </c>
      <c r="D39" s="72" t="n"/>
    </row>
    <row r="40" ht="21.9" customHeight="1">
      <c r="B40" s="15" t="n"/>
      <c r="C40" s="88" t="inlineStr">
        <is>
          <t>Aluguel</t>
        </is>
      </c>
      <c r="D40" s="88" t="n"/>
      <c r="E40" s="27" t="n">
        <v>1000</v>
      </c>
      <c r="F40" s="27" t="n">
        <v>1500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  <c r="L40" s="27" t="n">
        <v>0</v>
      </c>
      <c r="M40" s="27" t="n">
        <v>0</v>
      </c>
      <c r="N40" s="27" t="n">
        <v>0</v>
      </c>
      <c r="O40" s="27" t="n">
        <v>0</v>
      </c>
      <c r="P40" s="68" t="n">
        <v>0</v>
      </c>
      <c r="Q40" s="31">
        <f>SUM(E40:P40)</f>
        <v/>
      </c>
    </row>
    <row r="41" ht="21.9" customHeight="1">
      <c r="B41" s="15" t="n"/>
      <c r="C41" s="87" t="inlineStr">
        <is>
          <t>Condomínio</t>
        </is>
      </c>
      <c r="D41" s="87" t="n"/>
      <c r="E41" s="28" t="n">
        <v>0</v>
      </c>
      <c r="F41" s="28" t="n">
        <v>0</v>
      </c>
      <c r="G41" s="28" t="n">
        <v>0</v>
      </c>
      <c r="H41" s="28" t="n">
        <v>0</v>
      </c>
      <c r="I41" s="28" t="n">
        <v>0</v>
      </c>
      <c r="J41" s="28" t="n">
        <v>0</v>
      </c>
      <c r="K41" s="28" t="n">
        <v>0</v>
      </c>
      <c r="L41" s="28" t="n">
        <v>0</v>
      </c>
      <c r="M41" s="28" t="n">
        <v>0</v>
      </c>
      <c r="N41" s="28" t="n">
        <v>0</v>
      </c>
      <c r="O41" s="28" t="n">
        <v>0</v>
      </c>
      <c r="P41" s="69" t="n">
        <v>0</v>
      </c>
      <c r="Q41" s="31">
        <f>SUM(E41:P41)</f>
        <v/>
      </c>
    </row>
    <row r="42" ht="21.9" customHeight="1">
      <c r="B42" s="15" t="n"/>
      <c r="C42" s="88" t="inlineStr">
        <is>
          <t>IPTU</t>
        </is>
      </c>
      <c r="D42" s="88" t="n"/>
      <c r="E42" s="27" t="n">
        <v>0</v>
      </c>
      <c r="F42" s="27" t="n">
        <v>0</v>
      </c>
      <c r="G42" s="27" t="n">
        <v>0</v>
      </c>
      <c r="H42" s="27" t="n">
        <v>0</v>
      </c>
      <c r="I42" s="27" t="n">
        <v>0</v>
      </c>
      <c r="J42" s="27" t="n">
        <v>0</v>
      </c>
      <c r="K42" s="27" t="n">
        <v>0</v>
      </c>
      <c r="L42" s="27" t="n">
        <v>0</v>
      </c>
      <c r="M42" s="27" t="n">
        <v>0</v>
      </c>
      <c r="N42" s="27" t="n">
        <v>0</v>
      </c>
      <c r="O42" s="27" t="n">
        <v>0</v>
      </c>
      <c r="P42" s="68" t="n">
        <v>0</v>
      </c>
      <c r="Q42" s="31">
        <f>SUM(E42:P42)</f>
        <v/>
      </c>
    </row>
    <row r="43" ht="21.9" customHeight="1">
      <c r="B43" s="15" t="n"/>
      <c r="C43" s="87" t="inlineStr">
        <is>
          <t>Financiamento da casa</t>
        </is>
      </c>
      <c r="D43" s="87" t="n"/>
      <c r="E43" s="28" t="n">
        <v>0</v>
      </c>
      <c r="F43" s="28" t="n">
        <v>0</v>
      </c>
      <c r="G43" s="28" t="n">
        <v>0</v>
      </c>
      <c r="H43" s="28" t="n">
        <v>0</v>
      </c>
      <c r="I43" s="28" t="n">
        <v>0</v>
      </c>
      <c r="J43" s="28" t="n">
        <v>0</v>
      </c>
      <c r="K43" s="28" t="n">
        <v>0</v>
      </c>
      <c r="L43" s="28" t="n">
        <v>0</v>
      </c>
      <c r="M43" s="28" t="n">
        <v>0</v>
      </c>
      <c r="N43" s="28" t="n">
        <v>0</v>
      </c>
      <c r="O43" s="28" t="n">
        <v>0</v>
      </c>
      <c r="P43" s="69" t="n">
        <v>0</v>
      </c>
      <c r="Q43" s="31">
        <f>SUM(E43:P43)</f>
        <v/>
      </c>
    </row>
    <row r="44" ht="21.9" customHeight="1">
      <c r="B44" s="15" t="n"/>
      <c r="C44" s="88" t="inlineStr">
        <is>
          <t>Seguro Residencial</t>
        </is>
      </c>
      <c r="D44" s="88" t="n"/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0</v>
      </c>
      <c r="J44" s="27" t="n">
        <v>0</v>
      </c>
      <c r="K44" s="27" t="n">
        <v>0</v>
      </c>
      <c r="L44" s="27" t="n">
        <v>0</v>
      </c>
      <c r="M44" s="27" t="n">
        <v>0</v>
      </c>
      <c r="N44" s="27" t="n">
        <v>0</v>
      </c>
      <c r="O44" s="27" t="n">
        <v>0</v>
      </c>
      <c r="P44" s="68" t="n">
        <v>0</v>
      </c>
      <c r="Q44" s="31">
        <f>SUM(E44:P44)</f>
        <v/>
      </c>
    </row>
    <row r="45" ht="21.9" customHeight="1">
      <c r="B45" s="119" t="inlineStr">
        <is>
          <t>DESPESA VARIÁVEL</t>
        </is>
      </c>
      <c r="C45" s="87" t="inlineStr">
        <is>
          <t>Diarista/Mensalista 💲</t>
        </is>
      </c>
      <c r="D45" s="87" t="n"/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0</v>
      </c>
      <c r="J45" s="28" t="n">
        <v>0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69" t="n">
        <v>0</v>
      </c>
      <c r="Q45" s="31">
        <f>SUM(E45:P45)</f>
        <v/>
      </c>
    </row>
    <row r="46" ht="21.9" customHeight="1">
      <c r="C46" s="88" t="inlineStr">
        <is>
          <t>Streamings 💲</t>
        </is>
      </c>
      <c r="D46" s="88" t="n"/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7" t="n">
        <v>0</v>
      </c>
      <c r="L46" s="27" t="n">
        <v>0</v>
      </c>
      <c r="M46" s="27" t="n">
        <v>0</v>
      </c>
      <c r="N46" s="27" t="n">
        <v>0</v>
      </c>
      <c r="O46" s="27" t="n">
        <v>0</v>
      </c>
      <c r="P46" s="68" t="n">
        <v>0</v>
      </c>
      <c r="Q46" s="31">
        <f>SUM(E46:P46)</f>
        <v/>
      </c>
    </row>
    <row r="47" ht="21.9" customHeight="1">
      <c r="C47" s="87" t="inlineStr">
        <is>
          <t>Luz 💲</t>
        </is>
      </c>
      <c r="D47" s="87" t="n"/>
      <c r="E47" s="28" t="n">
        <v>160</v>
      </c>
      <c r="F47" s="28" t="n">
        <v>200</v>
      </c>
      <c r="G47" s="28" t="n">
        <v>0</v>
      </c>
      <c r="H47" s="28" t="n">
        <v>0</v>
      </c>
      <c r="I47" s="28" t="n">
        <v>0</v>
      </c>
      <c r="J47" s="28" t="n">
        <v>0</v>
      </c>
      <c r="K47" s="28" t="n">
        <v>0</v>
      </c>
      <c r="L47" s="28" t="n">
        <v>0</v>
      </c>
      <c r="M47" s="28" t="n">
        <v>0</v>
      </c>
      <c r="N47" s="28" t="n">
        <v>0</v>
      </c>
      <c r="O47" s="28" t="n">
        <v>0</v>
      </c>
      <c r="P47" s="69" t="n">
        <v>0</v>
      </c>
      <c r="Q47" s="31">
        <f>SUM(E47:P47)</f>
        <v/>
      </c>
    </row>
    <row r="48" ht="21.9" customHeight="1">
      <c r="C48" s="88" t="inlineStr">
        <is>
          <t>Água 💲</t>
        </is>
      </c>
      <c r="D48" s="88" t="n"/>
      <c r="E48" s="27" t="n">
        <v>50</v>
      </c>
      <c r="F48" s="27" t="n">
        <v>50</v>
      </c>
      <c r="G48" s="27" t="n">
        <v>0</v>
      </c>
      <c r="H48" s="27" t="n">
        <v>0</v>
      </c>
      <c r="I48" s="27" t="n">
        <v>0</v>
      </c>
      <c r="J48" s="27" t="n">
        <v>0</v>
      </c>
      <c r="K48" s="27" t="n">
        <v>0</v>
      </c>
      <c r="L48" s="27" t="n">
        <v>0</v>
      </c>
      <c r="M48" s="27" t="n">
        <v>0</v>
      </c>
      <c r="N48" s="27" t="n">
        <v>0</v>
      </c>
      <c r="O48" s="27" t="n">
        <v>0</v>
      </c>
      <c r="P48" s="68" t="n">
        <v>0</v>
      </c>
      <c r="Q48" s="31">
        <f>SUM(E48:P48)</f>
        <v/>
      </c>
    </row>
    <row r="49" ht="21.9" customHeight="1">
      <c r="C49" s="87" t="inlineStr">
        <is>
          <t>Telefone/Celular 💲</t>
        </is>
      </c>
      <c r="D49" s="87" t="n"/>
      <c r="E49" s="28" t="n">
        <v>20</v>
      </c>
      <c r="F49" s="28" t="n">
        <v>20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69" t="n">
        <v>0</v>
      </c>
      <c r="Q49" s="31">
        <f>SUM(E49:P49)</f>
        <v/>
      </c>
    </row>
    <row r="50" ht="21.9" customHeight="1">
      <c r="C50" s="88" t="inlineStr">
        <is>
          <t>Gás 💲</t>
        </is>
      </c>
      <c r="D50" s="88" t="n"/>
      <c r="E50" s="27" t="n">
        <v>23.75</v>
      </c>
      <c r="F50" s="27" t="n">
        <v>23.75</v>
      </c>
      <c r="G50" s="27" t="n">
        <v>0</v>
      </c>
      <c r="H50" s="27" t="n">
        <v>0</v>
      </c>
      <c r="I50" s="27" t="n">
        <v>0</v>
      </c>
      <c r="J50" s="27" t="n">
        <v>0</v>
      </c>
      <c r="K50" s="27" t="n">
        <v>0</v>
      </c>
      <c r="L50" s="27" t="n">
        <v>0</v>
      </c>
      <c r="M50" s="27" t="n">
        <v>0</v>
      </c>
      <c r="N50" s="27" t="n">
        <v>0</v>
      </c>
      <c r="O50" s="27" t="n">
        <v>0</v>
      </c>
      <c r="P50" s="68" t="n">
        <v>0</v>
      </c>
      <c r="Q50" s="31">
        <f>SUM(E50:P50)</f>
        <v/>
      </c>
    </row>
    <row r="51" ht="21.9" customHeight="1">
      <c r="C51" s="87" t="inlineStr">
        <is>
          <t>Internet/TV 💲</t>
        </is>
      </c>
      <c r="D51" s="87" t="n"/>
      <c r="E51" s="28" t="n">
        <v>100</v>
      </c>
      <c r="F51" s="28" t="n">
        <v>105</v>
      </c>
      <c r="G51" s="28" t="n">
        <v>0</v>
      </c>
      <c r="H51" s="28" t="n">
        <v>0</v>
      </c>
      <c r="I51" s="28" t="n">
        <v>0</v>
      </c>
      <c r="J51" s="28" t="n">
        <v>0</v>
      </c>
      <c r="K51" s="28" t="n">
        <v>0</v>
      </c>
      <c r="L51" s="28" t="n">
        <v>0</v>
      </c>
      <c r="M51" s="28" t="n">
        <v>0</v>
      </c>
      <c r="N51" s="28" t="n">
        <v>0</v>
      </c>
      <c r="O51" s="28" t="n">
        <v>0</v>
      </c>
      <c r="P51" s="69" t="n">
        <v>0</v>
      </c>
      <c r="Q51" s="31">
        <f>SUM(E51:P51)</f>
        <v/>
      </c>
    </row>
    <row r="52" ht="21.9" customHeight="1">
      <c r="A52" s="143" t="n"/>
      <c r="B52" s="19" t="n"/>
      <c r="C52" s="88" t="inlineStr">
        <is>
          <t>Outros</t>
        </is>
      </c>
      <c r="D52" s="88" t="n"/>
      <c r="E52" s="27" t="n">
        <v>0</v>
      </c>
      <c r="F52" s="27" t="n">
        <v>0</v>
      </c>
      <c r="G52" s="27" t="n">
        <v>0</v>
      </c>
      <c r="H52" s="27" t="n">
        <v>0</v>
      </c>
      <c r="I52" s="27" t="n">
        <v>0</v>
      </c>
      <c r="J52" s="27" t="n">
        <v>0</v>
      </c>
      <c r="K52" s="27" t="n">
        <v>0</v>
      </c>
      <c r="L52" s="27" t="n">
        <v>0</v>
      </c>
      <c r="M52" s="27" t="n">
        <v>0</v>
      </c>
      <c r="N52" s="27" t="n">
        <v>0</v>
      </c>
      <c r="O52" s="27" t="n">
        <v>0</v>
      </c>
      <c r="P52" s="68" t="n">
        <v>0</v>
      </c>
      <c r="Q52" s="31">
        <f>SUM(E52:P52)</f>
        <v/>
      </c>
    </row>
    <row r="53" ht="27.9" customFormat="1" customHeight="1" s="18">
      <c r="A53" s="17" t="n"/>
      <c r="B53" s="17" t="n"/>
      <c r="C53" s="84" t="inlineStr">
        <is>
          <t>Total de Despesas com Moradia</t>
        </is>
      </c>
      <c r="D53" s="84" t="n"/>
      <c r="E53" s="62">
        <f>SUM(E40:E52)</f>
        <v/>
      </c>
      <c r="F53" s="62">
        <f>SUM(F40:F52)</f>
        <v/>
      </c>
      <c r="G53" s="62">
        <f>SUM(G40:G52)</f>
        <v/>
      </c>
      <c r="H53" s="62">
        <f>SUM(H40:H52)</f>
        <v/>
      </c>
      <c r="I53" s="62">
        <f>SUM(I40:I52)</f>
        <v/>
      </c>
      <c r="J53" s="62">
        <f>SUM(J40:J52)</f>
        <v/>
      </c>
      <c r="K53" s="62">
        <f>SUM(K40:K52)</f>
        <v/>
      </c>
      <c r="L53" s="62">
        <f>SUM(L40:L52)</f>
        <v/>
      </c>
      <c r="M53" s="62">
        <f>SUM(M40:M52)</f>
        <v/>
      </c>
      <c r="N53" s="62">
        <f>SUM(N40:N52)</f>
        <v/>
      </c>
      <c r="O53" s="62">
        <f>SUM(O40:O52)</f>
        <v/>
      </c>
      <c r="P53" s="62">
        <f>SUM(P40:P52)</f>
        <v/>
      </c>
      <c r="Q53" s="31">
        <f>SUM(E53:P53)</f>
        <v/>
      </c>
    </row>
    <row r="54" ht="15.9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 ht="21.9" customFormat="1" customHeight="1" s="14">
      <c r="A55" s="127" t="inlineStr">
        <is>
          <t>Transporte</t>
        </is>
      </c>
      <c r="B55" s="19" t="n"/>
      <c r="C55" s="72" t="inlineStr">
        <is>
          <t>Descrição</t>
        </is>
      </c>
      <c r="D55" s="72" t="n"/>
    </row>
    <row r="56" ht="21.9" customHeight="1">
      <c r="B56" s="19" t="n"/>
      <c r="C56" s="74" t="inlineStr">
        <is>
          <t>Financiamento do Carro/Moto</t>
        </is>
      </c>
      <c r="D56" s="74" t="n"/>
      <c r="E56" s="54" t="n">
        <v>0</v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4" t="n">
        <v>0</v>
      </c>
      <c r="N56" s="54" t="n">
        <v>0</v>
      </c>
      <c r="O56" s="54" t="n">
        <v>0</v>
      </c>
      <c r="P56" s="54" t="n">
        <v>0</v>
      </c>
      <c r="Q56" s="31">
        <f>SUM(E56:P56)</f>
        <v/>
      </c>
    </row>
    <row r="57" ht="21.9" customHeight="1">
      <c r="B57" s="19" t="n"/>
      <c r="C57" s="73" t="inlineStr">
        <is>
          <t>Seguro Automotivo / IPVA</t>
        </is>
      </c>
      <c r="D57" s="73" t="n"/>
      <c r="E57" s="55" t="n">
        <v>25</v>
      </c>
      <c r="F57" s="55" t="n">
        <v>25</v>
      </c>
      <c r="G57" s="55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31">
        <f>SUM(E57:P57)</f>
        <v/>
      </c>
    </row>
    <row r="58" ht="21.9" customHeight="1">
      <c r="B58" s="19" t="n"/>
      <c r="C58" s="74" t="inlineStr">
        <is>
          <t xml:space="preserve">Manutenção básica </t>
        </is>
      </c>
      <c r="D58" s="74" t="n"/>
      <c r="E58" s="54" t="n">
        <v>50</v>
      </c>
      <c r="F58" s="54" t="n">
        <v>50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4" t="n">
        <v>0</v>
      </c>
      <c r="O58" s="54" t="n">
        <v>0</v>
      </c>
      <c r="P58" s="54" t="n">
        <v>0</v>
      </c>
      <c r="Q58" s="31">
        <f>SUM(E58:P58)</f>
        <v/>
      </c>
    </row>
    <row r="59" ht="21.9" customHeight="1">
      <c r="B59" s="119" t="inlineStr">
        <is>
          <t>VARIÁVEL</t>
        </is>
      </c>
      <c r="C59" s="73" t="inlineStr">
        <is>
          <t>Transporte Público (Metrô/Ônibus) 💲</t>
        </is>
      </c>
      <c r="D59" s="73" t="n"/>
      <c r="E59" s="55" t="n">
        <v>0</v>
      </c>
      <c r="F59" s="55" t="n">
        <v>0</v>
      </c>
      <c r="G59" s="55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31">
        <f>SUM(E59:P59)</f>
        <v/>
      </c>
    </row>
    <row r="60" ht="21.9" customHeight="1">
      <c r="C60" s="74" t="inlineStr">
        <is>
          <t>Táxi/Uber/99 💲</t>
        </is>
      </c>
      <c r="D60" s="74" t="n"/>
      <c r="E60" s="54" t="n">
        <v>0</v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4" t="n">
        <v>0</v>
      </c>
      <c r="N60" s="54" t="n">
        <v>0</v>
      </c>
      <c r="O60" s="54" t="n">
        <v>0</v>
      </c>
      <c r="P60" s="54" t="n">
        <v>0</v>
      </c>
      <c r="Q60" s="31">
        <f>SUM(E60:P60)</f>
        <v/>
      </c>
    </row>
    <row r="61" ht="21.9" customHeight="1">
      <c r="C61" s="73" t="inlineStr">
        <is>
          <t>Estacionamento 💲</t>
        </is>
      </c>
      <c r="D61" s="73" t="n"/>
      <c r="E61" s="55" t="n">
        <v>0</v>
      </c>
      <c r="F61" s="55" t="n">
        <v>0</v>
      </c>
      <c r="G61" s="55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31">
        <f>SUM(E61:P61)</f>
        <v/>
      </c>
    </row>
    <row r="62" ht="21.9" customHeight="1">
      <c r="C62" s="74" t="inlineStr">
        <is>
          <t>Combustível 💲</t>
        </is>
      </c>
      <c r="D62" s="74" t="n"/>
      <c r="E62" s="54" t="n">
        <v>178.75</v>
      </c>
      <c r="F62" s="54" t="n">
        <v>178.75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4" t="n">
        <v>0</v>
      </c>
      <c r="N62" s="54" t="n">
        <v>0</v>
      </c>
      <c r="O62" s="54" t="n">
        <v>0</v>
      </c>
      <c r="P62" s="54" t="n">
        <v>0</v>
      </c>
      <c r="Q62" s="31">
        <f>SUM(E62:P62)</f>
        <v/>
      </c>
    </row>
    <row r="63" ht="21.9" customHeight="1">
      <c r="B63" s="19" t="n"/>
      <c r="C63" s="73" t="inlineStr">
        <is>
          <t>Outros</t>
        </is>
      </c>
      <c r="D63" s="73" t="n"/>
      <c r="E63" s="55" t="n">
        <v>0</v>
      </c>
      <c r="F63" s="55" t="n">
        <v>0</v>
      </c>
      <c r="G63" s="55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31">
        <f>SUM(E63:P63)</f>
        <v/>
      </c>
    </row>
    <row r="64" ht="21.9" customHeight="1">
      <c r="B64" s="19" t="n"/>
      <c r="C64" s="33" t="inlineStr">
        <is>
          <t>Outros</t>
        </is>
      </c>
      <c r="D64" s="33" t="n"/>
      <c r="E64" s="54" t="n">
        <v>0</v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4" t="n">
        <v>0</v>
      </c>
      <c r="O64" s="54" t="n">
        <v>0</v>
      </c>
      <c r="P64" s="54" t="n">
        <v>0</v>
      </c>
      <c r="Q64" s="31">
        <f>SUM(E64:P64)</f>
        <v/>
      </c>
    </row>
    <row r="65" ht="21.9" customHeight="1">
      <c r="B65" s="19" t="n"/>
      <c r="C65" s="34" t="inlineStr">
        <is>
          <t>Outros</t>
        </is>
      </c>
      <c r="D65" s="34" t="n"/>
      <c r="E65" s="55" t="n">
        <v>0</v>
      </c>
      <c r="F65" s="55" t="n">
        <v>0</v>
      </c>
      <c r="G65" s="55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31">
        <f>SUM(E65:P65)</f>
        <v/>
      </c>
    </row>
    <row r="66" ht="21.9" customHeight="1">
      <c r="B66" s="19" t="n"/>
      <c r="C66" s="33" t="inlineStr">
        <is>
          <t>Outros</t>
        </is>
      </c>
      <c r="D66" s="33" t="n"/>
      <c r="E66" s="54" t="n">
        <v>0</v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4" t="n">
        <v>0</v>
      </c>
      <c r="N66" s="54" t="n">
        <v>0</v>
      </c>
      <c r="O66" s="54" t="n">
        <v>0</v>
      </c>
      <c r="P66" s="54" t="n">
        <v>0</v>
      </c>
      <c r="Q66" s="31">
        <f>SUM(E66:P66)</f>
        <v/>
      </c>
    </row>
    <row r="67" ht="21.9" customHeight="1">
      <c r="B67" s="19" t="n"/>
      <c r="E67" s="55" t="n">
        <v>0</v>
      </c>
      <c r="F67" s="55" t="n">
        <v>0</v>
      </c>
      <c r="G67" s="55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31">
        <f>SUM(E67:P67)</f>
        <v/>
      </c>
    </row>
    <row r="68" ht="27.9" customFormat="1" customHeight="1" s="21">
      <c r="A68" s="20" t="n"/>
      <c r="B68" s="20" t="n"/>
      <c r="C68" s="82" t="inlineStr">
        <is>
          <t>Total de Despesas com Transporte</t>
        </is>
      </c>
      <c r="D68" s="82" t="n"/>
      <c r="E68" s="56">
        <f>SUM(E56:E67)</f>
        <v/>
      </c>
      <c r="F68" s="56">
        <f>SUM(F56:F67)</f>
        <v/>
      </c>
      <c r="G68" s="56">
        <f>SUM(G56:G67)</f>
        <v/>
      </c>
      <c r="H68" s="56">
        <f>SUM(H56:H67)</f>
        <v/>
      </c>
      <c r="I68" s="56">
        <f>SUM(I56:I67)</f>
        <v/>
      </c>
      <c r="J68" s="56">
        <f>SUM(J56:J67)</f>
        <v/>
      </c>
      <c r="K68" s="56">
        <f>SUM(K56:K67)</f>
        <v/>
      </c>
      <c r="L68" s="56">
        <f>SUM(L56:L67)</f>
        <v/>
      </c>
      <c r="M68" s="56">
        <f>SUM(M56:M67)</f>
        <v/>
      </c>
      <c r="N68" s="56">
        <f>SUM(N56:N67)</f>
        <v/>
      </c>
      <c r="O68" s="56">
        <f>SUM(O56:O67)</f>
        <v/>
      </c>
      <c r="P68" s="56">
        <f>SUM(P56:P67)</f>
        <v/>
      </c>
      <c r="Q68" s="31">
        <f>SUM(E68:P68)</f>
        <v/>
      </c>
    </row>
    <row r="69" ht="15.9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 ht="21.9" customHeight="1">
      <c r="A70" s="130" t="inlineStr">
        <is>
          <t>Saúde</t>
        </is>
      </c>
      <c r="B70" s="14" t="n"/>
      <c r="C70" s="72" t="inlineStr">
        <is>
          <t>Descrição</t>
        </is>
      </c>
      <c r="D70" s="72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</row>
    <row r="71" ht="21.9" customHeight="1">
      <c r="B71" s="19" t="n"/>
      <c r="C71" s="85" t="inlineStr">
        <is>
          <t>Plano de Saúde</t>
        </is>
      </c>
      <c r="D71" s="85" t="n"/>
      <c r="E71" s="57" t="n">
        <v>0</v>
      </c>
      <c r="F71" s="57" t="n">
        <v>0</v>
      </c>
      <c r="G71" s="57" t="n">
        <v>0</v>
      </c>
      <c r="H71" s="57" t="n">
        <v>0</v>
      </c>
      <c r="I71" s="57" t="n">
        <v>0</v>
      </c>
      <c r="J71" s="57" t="n">
        <v>0</v>
      </c>
      <c r="K71" s="57" t="n">
        <v>0</v>
      </c>
      <c r="L71" s="57" t="n">
        <v>0</v>
      </c>
      <c r="M71" s="57" t="n">
        <v>0</v>
      </c>
      <c r="N71" s="57" t="n">
        <v>0</v>
      </c>
      <c r="O71" s="57" t="n">
        <v>0</v>
      </c>
      <c r="P71" s="57" t="n">
        <v>0</v>
      </c>
      <c r="Q71" s="31">
        <f>SUM(E71:P71)</f>
        <v/>
      </c>
    </row>
    <row r="72" ht="21.9" customHeight="1">
      <c r="B72" s="19" t="n"/>
      <c r="C72" s="36" t="inlineStr">
        <is>
          <t>Plano odontológico</t>
        </is>
      </c>
      <c r="D72" s="36" t="n"/>
      <c r="E72" s="58" t="n">
        <v>0</v>
      </c>
      <c r="F72" s="58" t="n">
        <v>0</v>
      </c>
      <c r="G72" s="58" t="n">
        <v>0</v>
      </c>
      <c r="H72" s="58" t="n">
        <v>0</v>
      </c>
      <c r="I72" s="58" t="n">
        <v>0</v>
      </c>
      <c r="J72" s="58" t="n">
        <v>0</v>
      </c>
      <c r="K72" s="58" t="n">
        <v>0</v>
      </c>
      <c r="L72" s="58" t="n">
        <v>0</v>
      </c>
      <c r="M72" s="58" t="n">
        <v>0</v>
      </c>
      <c r="N72" s="58" t="n">
        <v>0</v>
      </c>
      <c r="O72" s="58" t="n">
        <v>0</v>
      </c>
      <c r="P72" s="58" t="n">
        <v>0</v>
      </c>
      <c r="Q72" s="31">
        <f>SUM(E72:P72)</f>
        <v/>
      </c>
    </row>
    <row r="73" ht="21.9" customHeight="1">
      <c r="B73" s="19" t="n"/>
      <c r="C73" s="85" t="inlineStr">
        <is>
          <t>Seguro de Vida</t>
        </is>
      </c>
      <c r="D73" s="85" t="n"/>
      <c r="E73" s="57" t="n">
        <v>0</v>
      </c>
      <c r="F73" s="57" t="n">
        <v>0</v>
      </c>
      <c r="G73" s="57" t="n">
        <v>0</v>
      </c>
      <c r="H73" s="57" t="n">
        <v>0</v>
      </c>
      <c r="I73" s="57" t="n">
        <v>0</v>
      </c>
      <c r="J73" s="57" t="n">
        <v>0</v>
      </c>
      <c r="K73" s="57" t="n">
        <v>0</v>
      </c>
      <c r="L73" s="57" t="n">
        <v>0</v>
      </c>
      <c r="M73" s="57" t="n">
        <v>0</v>
      </c>
      <c r="N73" s="57" t="n">
        <v>0</v>
      </c>
      <c r="O73" s="57" t="n">
        <v>0</v>
      </c>
      <c r="P73" s="57" t="n">
        <v>0</v>
      </c>
      <c r="Q73" s="31">
        <f>SUM(E73:P73)</f>
        <v/>
      </c>
    </row>
    <row r="74" ht="21.9" customHeight="1">
      <c r="B74" s="119" t="inlineStr">
        <is>
          <t xml:space="preserve">   VARIÁVEL</t>
        </is>
      </c>
      <c r="C74" s="36" t="inlineStr">
        <is>
          <t>Dentista</t>
        </is>
      </c>
      <c r="D74" s="36" t="n"/>
      <c r="E74" s="58" t="n">
        <v>0</v>
      </c>
      <c r="F74" s="58" t="n">
        <v>0</v>
      </c>
      <c r="G74" s="58" t="n">
        <v>0</v>
      </c>
      <c r="H74" s="58" t="n">
        <v>0</v>
      </c>
      <c r="I74" s="58" t="n">
        <v>0</v>
      </c>
      <c r="J74" s="58" t="n">
        <v>0</v>
      </c>
      <c r="K74" s="58" t="n">
        <v>0</v>
      </c>
      <c r="L74" s="58" t="n">
        <v>0</v>
      </c>
      <c r="M74" s="58" t="n">
        <v>0</v>
      </c>
      <c r="N74" s="58" t="n">
        <v>0</v>
      </c>
      <c r="O74" s="58" t="n">
        <v>0</v>
      </c>
      <c r="P74" s="58" t="n">
        <v>0</v>
      </c>
      <c r="Q74" s="31">
        <f>SUM(E74:P74)</f>
        <v/>
      </c>
    </row>
    <row r="75" ht="21.9" customHeight="1">
      <c r="C75" s="35" t="inlineStr">
        <is>
          <t>Terapias diversas</t>
        </is>
      </c>
      <c r="D75" s="35" t="n"/>
      <c r="E75" s="57" t="n">
        <v>0</v>
      </c>
      <c r="F75" s="57" t="n">
        <v>0</v>
      </c>
      <c r="G75" s="57" t="n">
        <v>0</v>
      </c>
      <c r="H75" s="57" t="n">
        <v>0</v>
      </c>
      <c r="I75" s="57" t="n">
        <v>0</v>
      </c>
      <c r="J75" s="57" t="n">
        <v>0</v>
      </c>
      <c r="K75" s="57" t="n">
        <v>0</v>
      </c>
      <c r="L75" s="57" t="n">
        <v>0</v>
      </c>
      <c r="M75" s="57" t="n">
        <v>0</v>
      </c>
      <c r="N75" s="57" t="n">
        <v>0</v>
      </c>
      <c r="O75" s="57" t="n">
        <v>0</v>
      </c>
      <c r="P75" s="57" t="n">
        <v>0</v>
      </c>
      <c r="Q75" s="31">
        <f>SUM(E75:P75)</f>
        <v/>
      </c>
    </row>
    <row r="76" ht="21.9" customHeight="1">
      <c r="C76" s="36" t="inlineStr">
        <is>
          <t>Consultas</t>
        </is>
      </c>
      <c r="D76" s="36" t="n"/>
      <c r="E76" s="58" t="n">
        <v>0</v>
      </c>
      <c r="F76" s="58" t="n">
        <v>50</v>
      </c>
      <c r="G76" s="58" t="n">
        <v>0</v>
      </c>
      <c r="H76" s="58" t="n">
        <v>0</v>
      </c>
      <c r="I76" s="58" t="n">
        <v>0</v>
      </c>
      <c r="J76" s="58" t="n">
        <v>0</v>
      </c>
      <c r="K76" s="58" t="n">
        <v>0</v>
      </c>
      <c r="L76" s="58" t="n">
        <v>0</v>
      </c>
      <c r="M76" s="58" t="n">
        <v>0</v>
      </c>
      <c r="N76" s="58" t="n">
        <v>0</v>
      </c>
      <c r="O76" s="58" t="n">
        <v>0</v>
      </c>
      <c r="P76" s="58" t="n">
        <v>0</v>
      </c>
      <c r="Q76" s="31">
        <f>SUM(E76:P76)</f>
        <v/>
      </c>
    </row>
    <row r="77" ht="21.9" customHeight="1">
      <c r="C77" s="85" t="inlineStr">
        <is>
          <t>Medicamentos/Farmácia</t>
        </is>
      </c>
      <c r="D77" s="85" t="n"/>
      <c r="E77" s="57" t="n">
        <v>50</v>
      </c>
      <c r="F77" s="57" t="n">
        <v>50</v>
      </c>
      <c r="G77" s="57" t="n">
        <v>0</v>
      </c>
      <c r="H77" s="57" t="n">
        <v>0</v>
      </c>
      <c r="I77" s="57" t="n">
        <v>0</v>
      </c>
      <c r="J77" s="57" t="n">
        <v>0</v>
      </c>
      <c r="K77" s="57" t="n">
        <v>0</v>
      </c>
      <c r="L77" s="57" t="n">
        <v>0</v>
      </c>
      <c r="M77" s="57" t="n">
        <v>0</v>
      </c>
      <c r="N77" s="57" t="n">
        <v>0</v>
      </c>
      <c r="O77" s="57" t="n">
        <v>0</v>
      </c>
      <c r="P77" s="57" t="n">
        <v>0</v>
      </c>
      <c r="Q77" s="31">
        <f>SUM(E77:P77)</f>
        <v/>
      </c>
    </row>
    <row r="78" ht="21.9" customHeight="1">
      <c r="C78" s="86" t="inlineStr">
        <is>
          <t>Tratamentos/Procedimentos</t>
        </is>
      </c>
      <c r="D78" s="86" t="n"/>
      <c r="E78" s="58" t="n">
        <v>0</v>
      </c>
      <c r="F78" s="58" t="n">
        <v>0</v>
      </c>
      <c r="G78" s="58" t="n">
        <v>0</v>
      </c>
      <c r="H78" s="58" t="n">
        <v>0</v>
      </c>
      <c r="I78" s="58" t="n">
        <v>0</v>
      </c>
      <c r="J78" s="58" t="n">
        <v>0</v>
      </c>
      <c r="K78" s="58" t="n">
        <v>0</v>
      </c>
      <c r="L78" s="58" t="n">
        <v>0</v>
      </c>
      <c r="M78" s="58" t="n">
        <v>0</v>
      </c>
      <c r="N78" s="58" t="n">
        <v>0</v>
      </c>
      <c r="O78" s="58" t="n">
        <v>0</v>
      </c>
      <c r="P78" s="58" t="n">
        <v>0</v>
      </c>
      <c r="Q78" s="31">
        <f>SUM(E78:P78)</f>
        <v/>
      </c>
    </row>
    <row r="79" ht="21.9" customHeight="1">
      <c r="C79" s="35" t="inlineStr">
        <is>
          <t>Exames</t>
        </is>
      </c>
      <c r="D79" s="35" t="n"/>
      <c r="E79" s="57" t="n">
        <v>0</v>
      </c>
      <c r="F79" s="57" t="n">
        <v>0</v>
      </c>
      <c r="G79" s="57" t="n">
        <v>0</v>
      </c>
      <c r="H79" s="57" t="n">
        <v>0</v>
      </c>
      <c r="I79" s="57" t="n">
        <v>0</v>
      </c>
      <c r="J79" s="57" t="n">
        <v>0</v>
      </c>
      <c r="K79" s="57" t="n">
        <v>0</v>
      </c>
      <c r="L79" s="57" t="n">
        <v>0</v>
      </c>
      <c r="M79" s="57" t="n">
        <v>0</v>
      </c>
      <c r="N79" s="57" t="n">
        <v>0</v>
      </c>
      <c r="O79" s="57" t="n">
        <v>0</v>
      </c>
      <c r="P79" s="57" t="n">
        <v>0</v>
      </c>
      <c r="Q79" s="31">
        <f>SUM(E79:P79)</f>
        <v/>
      </c>
    </row>
    <row r="80" ht="21.9" customHeight="1">
      <c r="B80" s="19" t="n"/>
      <c r="C80" s="36" t="inlineStr">
        <is>
          <t>Outro</t>
        </is>
      </c>
      <c r="D80" s="36" t="n"/>
      <c r="E80" s="58" t="n">
        <v>0</v>
      </c>
      <c r="F80" s="58" t="n">
        <v>0</v>
      </c>
      <c r="G80" s="58" t="n">
        <v>0</v>
      </c>
      <c r="H80" s="58" t="n">
        <v>0</v>
      </c>
      <c r="I80" s="58" t="n">
        <v>0</v>
      </c>
      <c r="J80" s="58" t="n">
        <v>0</v>
      </c>
      <c r="K80" s="58" t="n">
        <v>0</v>
      </c>
      <c r="L80" s="58" t="n">
        <v>0</v>
      </c>
      <c r="M80" s="58" t="n">
        <v>0</v>
      </c>
      <c r="N80" s="58" t="n">
        <v>0</v>
      </c>
      <c r="O80" s="58" t="n">
        <v>0</v>
      </c>
      <c r="P80" s="58" t="n">
        <v>0</v>
      </c>
      <c r="Q80" s="31">
        <f>SUM(E80:P80)</f>
        <v/>
      </c>
    </row>
    <row r="81" ht="21.9" customHeight="1">
      <c r="B81" s="19" t="n"/>
      <c r="C81" s="35" t="inlineStr">
        <is>
          <t>Outro</t>
        </is>
      </c>
      <c r="D81" s="35" t="n"/>
      <c r="E81" s="57" t="n">
        <v>0</v>
      </c>
      <c r="F81" s="57" t="n">
        <v>0</v>
      </c>
      <c r="G81" s="57" t="n">
        <v>0</v>
      </c>
      <c r="H81" s="57" t="n">
        <v>0</v>
      </c>
      <c r="I81" s="57" t="n">
        <v>0</v>
      </c>
      <c r="J81" s="57" t="n">
        <v>0</v>
      </c>
      <c r="K81" s="57" t="n">
        <v>0</v>
      </c>
      <c r="L81" s="57" t="n">
        <v>0</v>
      </c>
      <c r="M81" s="57" t="n">
        <v>0</v>
      </c>
      <c r="N81" s="57" t="n">
        <v>0</v>
      </c>
      <c r="O81" s="57" t="n">
        <v>0</v>
      </c>
      <c r="P81" s="57" t="n">
        <v>0</v>
      </c>
      <c r="Q81" s="31">
        <f>SUM(E81:P81)</f>
        <v/>
      </c>
    </row>
    <row r="82" ht="21.9" customHeight="1">
      <c r="B82" s="19" t="n"/>
      <c r="C82" s="36" t="inlineStr">
        <is>
          <t>Outro</t>
        </is>
      </c>
      <c r="D82" s="36" t="n"/>
      <c r="E82" s="58" t="n">
        <v>0</v>
      </c>
      <c r="F82" s="58" t="n">
        <v>0</v>
      </c>
      <c r="G82" s="58" t="n">
        <v>0</v>
      </c>
      <c r="H82" s="58" t="n">
        <v>0</v>
      </c>
      <c r="I82" s="58" t="n">
        <v>0</v>
      </c>
      <c r="J82" s="58" t="n">
        <v>0</v>
      </c>
      <c r="K82" s="58" t="n">
        <v>0</v>
      </c>
      <c r="L82" s="58" t="n">
        <v>0</v>
      </c>
      <c r="M82" s="58" t="n">
        <v>0</v>
      </c>
      <c r="N82" s="58" t="n">
        <v>0</v>
      </c>
      <c r="O82" s="58" t="n">
        <v>0</v>
      </c>
      <c r="P82" s="58" t="n">
        <v>0</v>
      </c>
      <c r="Q82" s="31">
        <f>SUM(E82:P82)</f>
        <v/>
      </c>
    </row>
    <row r="83" ht="21.9" customHeight="1">
      <c r="B83" s="19" t="n"/>
      <c r="C83" s="35" t="inlineStr">
        <is>
          <t>Outro</t>
        </is>
      </c>
      <c r="D83" s="35" t="n"/>
      <c r="E83" s="57" t="n">
        <v>0</v>
      </c>
      <c r="F83" s="57" t="n">
        <v>0</v>
      </c>
      <c r="G83" s="57" t="n">
        <v>0</v>
      </c>
      <c r="H83" s="57" t="n">
        <v>0</v>
      </c>
      <c r="I83" s="57" t="n">
        <v>0</v>
      </c>
      <c r="J83" s="57" t="n">
        <v>0</v>
      </c>
      <c r="K83" s="57" t="n">
        <v>0</v>
      </c>
      <c r="L83" s="57" t="n">
        <v>0</v>
      </c>
      <c r="M83" s="57" t="n">
        <v>0</v>
      </c>
      <c r="N83" s="57" t="n">
        <v>0</v>
      </c>
      <c r="O83" s="57" t="n">
        <v>0</v>
      </c>
      <c r="P83" s="57" t="n">
        <v>0</v>
      </c>
      <c r="Q83" s="31">
        <f>SUM(E83:P83)</f>
        <v/>
      </c>
    </row>
    <row r="84" ht="21.9" customHeight="1">
      <c r="B84" s="19" t="n"/>
      <c r="C84" s="86" t="inlineStr">
        <is>
          <t>Outro</t>
        </is>
      </c>
      <c r="D84" s="86" t="n"/>
      <c r="E84" s="58" t="n">
        <v>0</v>
      </c>
      <c r="F84" s="58" t="n">
        <v>0</v>
      </c>
      <c r="G84" s="58" t="n">
        <v>0</v>
      </c>
      <c r="H84" s="58" t="n">
        <v>0</v>
      </c>
      <c r="I84" s="58" t="n">
        <v>0</v>
      </c>
      <c r="J84" s="58" t="n">
        <v>0</v>
      </c>
      <c r="K84" s="58" t="n">
        <v>0</v>
      </c>
      <c r="L84" s="58" t="n">
        <v>0</v>
      </c>
      <c r="M84" s="58" t="n">
        <v>0</v>
      </c>
      <c r="N84" s="58" t="n">
        <v>0</v>
      </c>
      <c r="O84" s="58" t="n">
        <v>0</v>
      </c>
      <c r="P84" s="58" t="n">
        <v>0</v>
      </c>
      <c r="Q84" s="31">
        <f>SUM(E84:P84)</f>
        <v/>
      </c>
    </row>
    <row r="85" ht="27.9" customHeight="1">
      <c r="A85" s="20" t="n"/>
      <c r="B85" s="20" t="n"/>
      <c r="C85" s="75" t="inlineStr">
        <is>
          <t>Total de Despesas com Saúde</t>
        </is>
      </c>
      <c r="D85" s="75" t="n"/>
      <c r="E85" s="59">
        <f>SUM(E71:E84)</f>
        <v/>
      </c>
      <c r="F85" s="59">
        <f>SUM(F71:F84)</f>
        <v/>
      </c>
      <c r="G85" s="59">
        <f>SUM(G71:G84)</f>
        <v/>
      </c>
      <c r="H85" s="59">
        <f>SUM(H71:H84)</f>
        <v/>
      </c>
      <c r="I85" s="59">
        <f>SUM(I71:I84)</f>
        <v/>
      </c>
      <c r="J85" s="59">
        <f>SUM(J71:J84)</f>
        <v/>
      </c>
      <c r="K85" s="59">
        <f>SUM(K71:K84)</f>
        <v/>
      </c>
      <c r="L85" s="59">
        <f>SUM(L71:L84)</f>
        <v/>
      </c>
      <c r="M85" s="59">
        <f>SUM(M71:M84)</f>
        <v/>
      </c>
      <c r="N85" s="59">
        <f>SUM(N71:N84)</f>
        <v/>
      </c>
      <c r="O85" s="59">
        <f>SUM(O71:O84)</f>
        <v/>
      </c>
      <c r="P85" s="59">
        <f>SUM(P71:P84)</f>
        <v/>
      </c>
      <c r="Q85" s="31">
        <f>SUM(E85:P85)</f>
        <v/>
      </c>
    </row>
    <row r="86" ht="15.9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 ht="21.9" customHeight="1">
      <c r="A87" s="128" t="inlineStr">
        <is>
          <t>Educação</t>
        </is>
      </c>
      <c r="B87" s="14" t="n"/>
      <c r="C87" s="72" t="inlineStr">
        <is>
          <t>Descrição</t>
        </is>
      </c>
      <c r="D87" s="72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</row>
    <row r="88" ht="21.9" customHeight="1">
      <c r="B88" s="15" t="n"/>
      <c r="C88" s="87" t="inlineStr">
        <is>
          <t>Creche/Escola/Colégio</t>
        </is>
      </c>
      <c r="D88" s="87" t="n"/>
      <c r="E88" s="60" t="n">
        <v>0</v>
      </c>
      <c r="F88" s="60" t="n">
        <v>0</v>
      </c>
      <c r="G88" s="60" t="n">
        <v>0</v>
      </c>
      <c r="H88" s="60" t="n">
        <v>0</v>
      </c>
      <c r="I88" s="60" t="n">
        <v>0</v>
      </c>
      <c r="J88" s="60" t="n">
        <v>0</v>
      </c>
      <c r="K88" s="60" t="n">
        <v>0</v>
      </c>
      <c r="L88" s="60" t="n">
        <v>0</v>
      </c>
      <c r="M88" s="60" t="n">
        <v>0</v>
      </c>
      <c r="N88" s="60" t="n">
        <v>0</v>
      </c>
      <c r="O88" s="60" t="n">
        <v>0</v>
      </c>
      <c r="P88" s="60" t="n">
        <v>0</v>
      </c>
      <c r="Q88" s="31">
        <f>SUM(E88:P88)</f>
        <v/>
      </c>
    </row>
    <row r="89" ht="21.9" customHeight="1">
      <c r="B89" s="15" t="n"/>
      <c r="C89" s="88" t="inlineStr">
        <is>
          <t>Faculdade/Universidade</t>
        </is>
      </c>
      <c r="D89" s="88" t="n"/>
      <c r="E89" s="61" t="n">
        <v>0</v>
      </c>
      <c r="F89" s="61" t="n">
        <v>0</v>
      </c>
      <c r="G89" s="61" t="n">
        <v>0</v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31">
        <f>SUM(E89:P89)</f>
        <v/>
      </c>
    </row>
    <row r="90" ht="21.9" customHeight="1">
      <c r="B90" s="119" t="inlineStr">
        <is>
          <t>VAR.</t>
        </is>
      </c>
      <c r="C90" s="87" t="inlineStr">
        <is>
          <t>Material Escolar💲</t>
        </is>
      </c>
      <c r="D90" s="87" t="n"/>
      <c r="E90" s="60" t="n">
        <v>0</v>
      </c>
      <c r="F90" s="60" t="n">
        <v>0</v>
      </c>
      <c r="G90" s="60" t="n">
        <v>0</v>
      </c>
      <c r="H90" s="60" t="n">
        <v>0</v>
      </c>
      <c r="I90" s="60" t="n">
        <v>0</v>
      </c>
      <c r="J90" s="60" t="n">
        <v>0</v>
      </c>
      <c r="K90" s="60" t="n">
        <v>0</v>
      </c>
      <c r="L90" s="60" t="n">
        <v>0</v>
      </c>
      <c r="M90" s="60" t="n">
        <v>0</v>
      </c>
      <c r="N90" s="60" t="n">
        <v>0</v>
      </c>
      <c r="O90" s="60" t="n">
        <v>0</v>
      </c>
      <c r="P90" s="60" t="n">
        <v>0</v>
      </c>
      <c r="Q90" s="31">
        <f>SUM(E90:P90)</f>
        <v/>
      </c>
    </row>
    <row r="91" ht="21.9" customHeight="1">
      <c r="C91" s="88" t="inlineStr">
        <is>
          <t>Cursos Extras</t>
        </is>
      </c>
      <c r="D91" s="88" t="n"/>
      <c r="E91" s="61" t="n">
        <v>0</v>
      </c>
      <c r="F91" s="61" t="n">
        <v>50</v>
      </c>
      <c r="G91" s="61" t="n">
        <v>0</v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31">
        <f>SUM(E91:P91)</f>
        <v/>
      </c>
    </row>
    <row r="92" ht="21.9" customHeight="1">
      <c r="C92" s="87" t="inlineStr">
        <is>
          <t>Outros</t>
        </is>
      </c>
      <c r="D92" s="87" t="n"/>
      <c r="E92" s="60" t="n">
        <v>0</v>
      </c>
      <c r="F92" s="60" t="n">
        <v>0</v>
      </c>
      <c r="G92" s="60" t="n">
        <v>0</v>
      </c>
      <c r="H92" s="60" t="n">
        <v>0</v>
      </c>
      <c r="I92" s="60" t="n">
        <v>0</v>
      </c>
      <c r="J92" s="60" t="n">
        <v>0</v>
      </c>
      <c r="K92" s="60" t="n">
        <v>0</v>
      </c>
      <c r="L92" s="60" t="n">
        <v>0</v>
      </c>
      <c r="M92" s="60" t="n">
        <v>0</v>
      </c>
      <c r="N92" s="60" t="n">
        <v>0</v>
      </c>
      <c r="O92" s="60" t="n">
        <v>0</v>
      </c>
      <c r="P92" s="60" t="n">
        <v>0</v>
      </c>
      <c r="Q92" s="31">
        <f>SUM(E92:P92)</f>
        <v/>
      </c>
    </row>
    <row r="93" ht="27.9" customHeight="1">
      <c r="A93" s="20" t="n"/>
      <c r="B93" s="20" t="n"/>
      <c r="C93" s="84" t="inlineStr">
        <is>
          <t>Total de Despesas com Educação</t>
        </is>
      </c>
      <c r="D93" s="84" t="n"/>
      <c r="E93" s="62">
        <f>SUM(E88:E92)</f>
        <v/>
      </c>
      <c r="F93" s="62">
        <f>SUM(F88:F92)</f>
        <v/>
      </c>
      <c r="G93" s="62">
        <f>SUM(G88:G92)</f>
        <v/>
      </c>
      <c r="H93" s="62">
        <f>SUM(H88:H92)</f>
        <v/>
      </c>
      <c r="I93" s="62">
        <f>SUM(I88:I92)</f>
        <v/>
      </c>
      <c r="J93" s="62">
        <f>SUM(J88:J92)</f>
        <v/>
      </c>
      <c r="K93" s="62">
        <f>SUM(K88:K92)</f>
        <v/>
      </c>
      <c r="L93" s="62">
        <f>SUM(L88:L92)</f>
        <v/>
      </c>
      <c r="M93" s="62">
        <f>SUM(M88:M92)</f>
        <v/>
      </c>
      <c r="N93" s="62">
        <f>SUM(N88:N92)</f>
        <v/>
      </c>
      <c r="O93" s="62">
        <f>SUM(O88:O92)</f>
        <v/>
      </c>
      <c r="P93" s="62">
        <f>SUM(P88:P92)</f>
        <v/>
      </c>
      <c r="Q93" s="31">
        <f>SUM(E93:P93)</f>
        <v/>
      </c>
    </row>
    <row r="94" ht="15.9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 ht="21.9" customHeight="1">
      <c r="A95" s="127" t="inlineStr">
        <is>
          <t>Alimentação</t>
        </is>
      </c>
      <c r="B95" s="14" t="n"/>
      <c r="C95" s="72" t="inlineStr">
        <is>
          <t>Descrição</t>
        </is>
      </c>
      <c r="D95" s="72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</row>
    <row r="96" ht="21.9" customHeight="1">
      <c r="B96" s="15" t="n"/>
      <c r="C96" s="73" t="inlineStr">
        <is>
          <t>Supermercado/Feira</t>
        </is>
      </c>
      <c r="D96" s="73" t="n"/>
      <c r="E96" s="55" t="n">
        <v>251.92</v>
      </c>
      <c r="F96" s="55" t="n">
        <v>398</v>
      </c>
      <c r="G96" s="55" t="n">
        <v>0</v>
      </c>
      <c r="H96" s="55" t="n">
        <v>0</v>
      </c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31">
        <f>SUM(E96:P96)</f>
        <v/>
      </c>
    </row>
    <row r="97" ht="21.9" customHeight="1">
      <c r="B97" s="15" t="n"/>
      <c r="C97" s="74" t="inlineStr">
        <is>
          <t>Cafés e Restaurantes 💲</t>
        </is>
      </c>
      <c r="D97" s="74" t="n"/>
      <c r="E97" s="54" t="n">
        <v>0</v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4" t="n">
        <v>0</v>
      </c>
      <c r="O97" s="54" t="n">
        <v>0</v>
      </c>
      <c r="P97" s="54" t="n">
        <v>0</v>
      </c>
      <c r="Q97" s="31">
        <f>SUM(E97:P97)</f>
        <v/>
      </c>
    </row>
    <row r="98" ht="21.9" customHeight="1">
      <c r="B98" s="22" t="n"/>
      <c r="C98" s="73" t="inlineStr">
        <is>
          <t>Delivery 💲</t>
        </is>
      </c>
      <c r="D98" s="73" t="n"/>
      <c r="E98" s="55" t="n">
        <v>50</v>
      </c>
      <c r="F98" s="55" t="n">
        <v>150</v>
      </c>
      <c r="G98" s="55" t="n">
        <v>0</v>
      </c>
      <c r="H98" s="55" t="n">
        <v>0</v>
      </c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31">
        <f>SUM(E98:P98)</f>
        <v/>
      </c>
    </row>
    <row r="99" ht="21.9" customHeight="1">
      <c r="B99" s="22" t="n"/>
      <c r="C99" s="74" t="inlineStr">
        <is>
          <t>Outros</t>
        </is>
      </c>
      <c r="D99" s="74" t="n"/>
      <c r="E99" s="54" t="n">
        <v>50</v>
      </c>
      <c r="F99" s="54" t="n">
        <v>200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4" t="n">
        <v>0</v>
      </c>
      <c r="O99" s="54" t="n">
        <v>0</v>
      </c>
      <c r="P99" s="54" t="n">
        <v>0</v>
      </c>
      <c r="Q99" s="31">
        <f>SUM(E99:P99)</f>
        <v/>
      </c>
    </row>
    <row r="100" ht="27.9" customFormat="1" customHeight="1" s="21">
      <c r="A100" s="20" t="n"/>
      <c r="B100" s="20" t="n"/>
      <c r="C100" s="82" t="inlineStr">
        <is>
          <t>Total de Despesas com Alimentação</t>
        </is>
      </c>
      <c r="D100" s="82" t="n"/>
      <c r="E100" s="56">
        <f>SUM(E96:E99)</f>
        <v/>
      </c>
      <c r="F100" s="56">
        <f>SUM(F96:F99)</f>
        <v/>
      </c>
      <c r="G100" s="56">
        <f>SUM(G96:G99)</f>
        <v/>
      </c>
      <c r="H100" s="56">
        <f>SUM(H96:H99)</f>
        <v/>
      </c>
      <c r="I100" s="56">
        <f>SUM(I96:I99)</f>
        <v/>
      </c>
      <c r="J100" s="56">
        <f>SUM(J96:J99)</f>
        <v/>
      </c>
      <c r="K100" s="56">
        <f>SUM(K96:K99)</f>
        <v/>
      </c>
      <c r="L100" s="56">
        <f>SUM(L96:L99)</f>
        <v/>
      </c>
      <c r="M100" s="56">
        <f>SUM(M96:M99)</f>
        <v/>
      </c>
      <c r="N100" s="56">
        <f>SUM(N96:N99)</f>
        <v/>
      </c>
      <c r="O100" s="56">
        <f>SUM(O96:O99)</f>
        <v/>
      </c>
      <c r="P100" s="56">
        <f>SUM(P96:P99)</f>
        <v/>
      </c>
      <c r="Q100" s="31">
        <f>SUM(E100:P100)</f>
        <v/>
      </c>
    </row>
    <row r="101" ht="15.9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 ht="21.9" customHeight="1">
      <c r="A102" s="129" t="inlineStr">
        <is>
          <t>Gastos Pessoais e Entretenimento</t>
        </is>
      </c>
      <c r="B102" s="14" t="n"/>
      <c r="C102" s="72" t="inlineStr">
        <is>
          <t>Descrição</t>
        </is>
      </c>
      <c r="D102" s="72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</row>
    <row r="103" ht="21.9" customHeight="1">
      <c r="B103" s="15" t="n"/>
      <c r="C103" s="85" t="inlineStr">
        <is>
          <t>Roupas e Acessórios 💲</t>
        </is>
      </c>
      <c r="D103" s="85" t="n"/>
      <c r="E103" s="111" t="n">
        <v>0</v>
      </c>
      <c r="F103" s="57" t="n">
        <v>0</v>
      </c>
      <c r="G103" s="57" t="n">
        <v>0</v>
      </c>
      <c r="H103" s="57" t="n">
        <v>0</v>
      </c>
      <c r="I103" s="57" t="n">
        <v>0</v>
      </c>
      <c r="J103" s="57" t="n">
        <v>0</v>
      </c>
      <c r="K103" s="57" t="n">
        <v>0</v>
      </c>
      <c r="L103" s="57" t="n">
        <v>0</v>
      </c>
      <c r="M103" s="57" t="n">
        <v>0</v>
      </c>
      <c r="N103" s="57" t="n">
        <v>0</v>
      </c>
      <c r="O103" s="57" t="n">
        <v>0</v>
      </c>
      <c r="P103" s="57" t="n">
        <v>0</v>
      </c>
      <c r="Q103" s="31">
        <f>SUM(E103:P103)</f>
        <v/>
      </c>
    </row>
    <row r="104" ht="21.9" customHeight="1">
      <c r="B104" s="15" t="n"/>
      <c r="C104" s="86" t="inlineStr">
        <is>
          <t>Presentes 💲</t>
        </is>
      </c>
      <c r="D104" s="86" t="n"/>
      <c r="E104" s="112" t="n">
        <v>0</v>
      </c>
      <c r="F104" s="58" t="n">
        <v>0</v>
      </c>
      <c r="G104" s="58" t="n">
        <v>0</v>
      </c>
      <c r="H104" s="58" t="n">
        <v>0</v>
      </c>
      <c r="I104" s="58" t="n">
        <v>0</v>
      </c>
      <c r="J104" s="58" t="n">
        <v>0</v>
      </c>
      <c r="K104" s="58" t="n">
        <v>0</v>
      </c>
      <c r="L104" s="58" t="n">
        <v>0</v>
      </c>
      <c r="M104" s="58" t="n">
        <v>0</v>
      </c>
      <c r="N104" s="58" t="n">
        <v>0</v>
      </c>
      <c r="O104" s="58" t="n">
        <v>0</v>
      </c>
      <c r="P104" s="58" t="n">
        <v>0</v>
      </c>
      <c r="Q104" s="31">
        <f>SUM(E104:P104)</f>
        <v/>
      </c>
    </row>
    <row r="105" ht="21.9" customHeight="1">
      <c r="B105" s="22" t="n"/>
      <c r="C105" s="85" t="inlineStr">
        <is>
          <t>Viagens 💲</t>
        </is>
      </c>
      <c r="D105" s="85" t="n"/>
      <c r="E105" s="111" t="n">
        <v>50</v>
      </c>
      <c r="F105" s="57" t="n">
        <v>200</v>
      </c>
      <c r="G105" s="57" t="n">
        <v>0</v>
      </c>
      <c r="H105" s="57" t="n">
        <v>0</v>
      </c>
      <c r="I105" s="57" t="n">
        <v>0</v>
      </c>
      <c r="J105" s="57" t="n">
        <v>0</v>
      </c>
      <c r="K105" s="57" t="n">
        <v>0</v>
      </c>
      <c r="L105" s="57" t="n">
        <v>0</v>
      </c>
      <c r="M105" s="57" t="n">
        <v>0</v>
      </c>
      <c r="N105" s="57" t="n">
        <v>0</v>
      </c>
      <c r="O105" s="57" t="n">
        <v>0</v>
      </c>
      <c r="P105" s="57" t="n">
        <v>0</v>
      </c>
      <c r="Q105" s="31">
        <f>SUM(E105:P105)</f>
        <v/>
      </c>
    </row>
    <row r="106" ht="21.9" customHeight="1">
      <c r="B106" s="22" t="n"/>
      <c r="C106" s="86" t="inlineStr">
        <is>
          <t>Shows/Teatro 💲</t>
        </is>
      </c>
      <c r="D106" s="86" t="n"/>
      <c r="E106" s="112" t="n">
        <v>0</v>
      </c>
      <c r="F106" s="58" t="n">
        <v>0</v>
      </c>
      <c r="G106" s="58" t="n">
        <v>0</v>
      </c>
      <c r="H106" s="58" t="n">
        <v>0</v>
      </c>
      <c r="I106" s="58" t="n">
        <v>0</v>
      </c>
      <c r="J106" s="58" t="n">
        <v>0</v>
      </c>
      <c r="K106" s="58" t="n">
        <v>0</v>
      </c>
      <c r="L106" s="58" t="n">
        <v>0</v>
      </c>
      <c r="M106" s="58" t="n">
        <v>0</v>
      </c>
      <c r="N106" s="58" t="n">
        <v>0</v>
      </c>
      <c r="O106" s="58" t="n">
        <v>0</v>
      </c>
      <c r="P106" s="58" t="n">
        <v>0</v>
      </c>
      <c r="Q106" s="31">
        <f>SUM(E106:P106)</f>
        <v/>
      </c>
    </row>
    <row r="107" ht="21.9" customHeight="1">
      <c r="B107" s="22" t="n"/>
      <c r="C107" s="85" t="inlineStr">
        <is>
          <t>Cinema 💲</t>
        </is>
      </c>
      <c r="D107" s="85" t="n"/>
      <c r="E107" s="111" t="n">
        <v>50</v>
      </c>
      <c r="F107" s="57" t="n">
        <v>100</v>
      </c>
      <c r="G107" s="57" t="n">
        <v>0</v>
      </c>
      <c r="H107" s="57" t="n">
        <v>0</v>
      </c>
      <c r="I107" s="57" t="n">
        <v>0</v>
      </c>
      <c r="J107" s="57" t="n">
        <v>0</v>
      </c>
      <c r="K107" s="57" t="n">
        <v>0</v>
      </c>
      <c r="L107" s="57" t="n">
        <v>0</v>
      </c>
      <c r="M107" s="57" t="n">
        <v>0</v>
      </c>
      <c r="N107" s="57" t="n">
        <v>0</v>
      </c>
      <c r="O107" s="57" t="n">
        <v>0</v>
      </c>
      <c r="P107" s="57" t="n">
        <v>0</v>
      </c>
      <c r="Q107" s="31">
        <f>SUM(E107:P107)</f>
        <v/>
      </c>
    </row>
    <row r="108" ht="21.9" customHeight="1">
      <c r="B108" s="22" t="n"/>
      <c r="C108" s="86" t="inlineStr">
        <is>
          <t>Bares/Restaurantes/Vida Noturna 💲</t>
        </is>
      </c>
      <c r="D108" s="86" t="n"/>
      <c r="E108" s="112" t="n">
        <v>0</v>
      </c>
      <c r="F108" s="58" t="n">
        <v>0</v>
      </c>
      <c r="G108" s="58" t="n">
        <v>0</v>
      </c>
      <c r="H108" s="58" t="n">
        <v>0</v>
      </c>
      <c r="I108" s="58" t="n">
        <v>0</v>
      </c>
      <c r="J108" s="58" t="n">
        <v>0</v>
      </c>
      <c r="K108" s="58" t="n">
        <v>0</v>
      </c>
      <c r="L108" s="58" t="n">
        <v>0</v>
      </c>
      <c r="M108" s="58" t="n">
        <v>0</v>
      </c>
      <c r="N108" s="58" t="n">
        <v>0</v>
      </c>
      <c r="O108" s="58" t="n">
        <v>0</v>
      </c>
      <c r="P108" s="58" t="n">
        <v>0</v>
      </c>
      <c r="Q108" s="31">
        <f>SUM(E108:P108)</f>
        <v/>
      </c>
    </row>
    <row r="109" ht="21.9" customHeight="1">
      <c r="B109" s="22" t="n"/>
      <c r="C109" s="35" t="inlineStr">
        <is>
          <t>Hobby</t>
        </is>
      </c>
      <c r="D109" s="35" t="n"/>
      <c r="E109" s="111" t="n">
        <v>50</v>
      </c>
      <c r="F109" s="57" t="n">
        <v>100</v>
      </c>
      <c r="G109" s="57" t="n">
        <v>0</v>
      </c>
      <c r="H109" s="57" t="n">
        <v>0</v>
      </c>
      <c r="I109" s="57" t="n">
        <v>0</v>
      </c>
      <c r="J109" s="57" t="n">
        <v>0</v>
      </c>
      <c r="K109" s="57" t="n">
        <v>0</v>
      </c>
      <c r="L109" s="57" t="n">
        <v>0</v>
      </c>
      <c r="M109" s="57" t="n">
        <v>0</v>
      </c>
      <c r="N109" s="57" t="n">
        <v>0</v>
      </c>
      <c r="O109" s="57" t="n">
        <v>0</v>
      </c>
      <c r="P109" s="57" t="n">
        <v>0</v>
      </c>
      <c r="Q109" s="31">
        <f>SUM(E109:P109)</f>
        <v/>
      </c>
    </row>
    <row r="110" ht="21.9" customHeight="1">
      <c r="B110" s="22" t="n"/>
      <c r="C110" s="86" t="inlineStr">
        <is>
          <t>Outros</t>
        </is>
      </c>
      <c r="D110" s="86" t="n"/>
      <c r="E110" s="112" t="n">
        <v>80</v>
      </c>
      <c r="F110" s="58" t="n">
        <v>580.3099999999999</v>
      </c>
      <c r="G110" s="58" t="n">
        <v>0</v>
      </c>
      <c r="H110" s="58" t="n">
        <v>0</v>
      </c>
      <c r="I110" s="58" t="n">
        <v>0</v>
      </c>
      <c r="J110" s="58" t="n">
        <v>0</v>
      </c>
      <c r="K110" s="58" t="n">
        <v>0</v>
      </c>
      <c r="L110" s="58" t="n">
        <v>0</v>
      </c>
      <c r="M110" s="58" t="n">
        <v>0</v>
      </c>
      <c r="N110" s="58" t="n">
        <v>0</v>
      </c>
      <c r="O110" s="58" t="n">
        <v>0</v>
      </c>
      <c r="P110" s="58" t="n">
        <v>0</v>
      </c>
      <c r="Q110" s="31">
        <f>SUM(E110:P110)</f>
        <v/>
      </c>
    </row>
    <row r="111" ht="27.9" customHeight="1">
      <c r="A111" s="20" t="n"/>
      <c r="B111" s="20" t="n"/>
      <c r="C111" s="75" t="inlineStr">
        <is>
          <t>Total de Despesas Pessoais/Entretenimento</t>
        </is>
      </c>
      <c r="D111" s="75" t="n"/>
      <c r="E111" s="113">
        <f>SUM(E103:E110)</f>
        <v/>
      </c>
      <c r="F111" s="59">
        <f>SUM(F103:F110)</f>
        <v/>
      </c>
      <c r="G111" s="59">
        <f>SUM(G103:G110)</f>
        <v/>
      </c>
      <c r="H111" s="59">
        <f>SUM(H103:H110)</f>
        <v/>
      </c>
      <c r="I111" s="59">
        <f>SUM(I103:I110)</f>
        <v/>
      </c>
      <c r="J111" s="59">
        <f>SUM(J103:J110)</f>
        <v/>
      </c>
      <c r="K111" s="59">
        <f>SUM(K103:K110)</f>
        <v/>
      </c>
      <c r="L111" s="59">
        <f>SUM(L103:L110)</f>
        <v/>
      </c>
      <c r="M111" s="59">
        <f>SUM(M103:M110)</f>
        <v/>
      </c>
      <c r="N111" s="59">
        <f>SUM(N103:N110)</f>
        <v/>
      </c>
      <c r="O111" s="59">
        <f>SUM(O103:O110)</f>
        <v/>
      </c>
      <c r="P111" s="59">
        <f>SUM(P103:P110)</f>
        <v/>
      </c>
      <c r="Q111" s="31">
        <f>SUM(E111:P111)</f>
        <v/>
      </c>
    </row>
    <row r="112" ht="15.9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</row>
    <row r="113" ht="21.9" customHeight="1">
      <c r="A113" s="123" t="inlineStr">
        <is>
          <t xml:space="preserve"> Cuidado Pessoal</t>
        </is>
      </c>
      <c r="B113" s="77" t="n"/>
      <c r="C113" s="72" t="inlineStr">
        <is>
          <t>Descrição</t>
        </is>
      </c>
      <c r="D113" s="72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</row>
    <row r="114" ht="21.9" customHeight="1">
      <c r="B114" s="77" t="n"/>
      <c r="C114" s="87" t="inlineStr">
        <is>
          <t>Manicure/Pedicure</t>
        </is>
      </c>
      <c r="D114" s="87" t="n"/>
      <c r="E114" s="60" t="n">
        <v>0</v>
      </c>
      <c r="F114" s="60" t="n">
        <v>0</v>
      </c>
      <c r="G114" s="60" t="n">
        <v>0</v>
      </c>
      <c r="H114" s="60" t="n">
        <v>0</v>
      </c>
      <c r="I114" s="60" t="n">
        <v>0</v>
      </c>
      <c r="J114" s="60" t="n">
        <v>0</v>
      </c>
      <c r="K114" s="60" t="n">
        <v>0</v>
      </c>
      <c r="L114" s="60" t="n">
        <v>0</v>
      </c>
      <c r="M114" s="60" t="n">
        <v>0</v>
      </c>
      <c r="N114" s="60" t="n">
        <v>0</v>
      </c>
      <c r="O114" s="60" t="n">
        <v>0</v>
      </c>
      <c r="P114" s="60" t="n">
        <v>0</v>
      </c>
      <c r="Q114" s="31">
        <f>SUM(E114:P114)</f>
        <v/>
      </c>
    </row>
    <row r="115" ht="21.9" customHeight="1">
      <c r="B115" s="77" t="n"/>
      <c r="C115" s="88" t="inlineStr">
        <is>
          <t>Cuidados com Cabelo e/ou Barba</t>
        </is>
      </c>
      <c r="D115" s="88" t="n"/>
      <c r="E115" s="61" t="n">
        <v>0</v>
      </c>
      <c r="F115" s="61" t="n">
        <v>50</v>
      </c>
      <c r="G115" s="61" t="n">
        <v>0</v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31">
        <f>SUM(E115:P115)</f>
        <v/>
      </c>
    </row>
    <row r="116" ht="21.9" customHeight="1">
      <c r="B116" s="77" t="n"/>
      <c r="C116" s="87" t="inlineStr">
        <is>
          <t>Depilação/Estética</t>
        </is>
      </c>
      <c r="D116" s="87" t="n"/>
      <c r="E116" s="60" t="n">
        <v>0</v>
      </c>
      <c r="F116" s="60" t="n">
        <v>0</v>
      </c>
      <c r="G116" s="60" t="n">
        <v>0</v>
      </c>
      <c r="H116" s="60" t="n">
        <v>0</v>
      </c>
      <c r="I116" s="60" t="n">
        <v>0</v>
      </c>
      <c r="J116" s="60" t="n">
        <v>0</v>
      </c>
      <c r="K116" s="60" t="n">
        <v>0</v>
      </c>
      <c r="L116" s="60" t="n">
        <v>0</v>
      </c>
      <c r="M116" s="60" t="n">
        <v>0</v>
      </c>
      <c r="N116" s="60" t="n">
        <v>0</v>
      </c>
      <c r="O116" s="60" t="n">
        <v>0</v>
      </c>
      <c r="P116" s="60" t="n">
        <v>0</v>
      </c>
      <c r="Q116" s="31">
        <f>SUM(E116:P116)</f>
        <v/>
      </c>
    </row>
    <row r="117" ht="21.9" customHeight="1">
      <c r="B117" s="77" t="n"/>
      <c r="C117" s="88" t="inlineStr">
        <is>
          <t>Academia</t>
        </is>
      </c>
      <c r="D117" s="88" t="n"/>
      <c r="E117" s="61" t="n">
        <v>0</v>
      </c>
      <c r="F117" s="61" t="n">
        <v>0</v>
      </c>
      <c r="G117" s="61" t="n">
        <v>0</v>
      </c>
      <c r="H117" s="61" t="n">
        <v>0</v>
      </c>
      <c r="I117" s="61" t="n">
        <v>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31">
        <f>SUM(E117:P117)</f>
        <v/>
      </c>
    </row>
    <row r="118" ht="21.9" customHeight="1">
      <c r="B118" s="77" t="n"/>
      <c r="C118" s="87" t="inlineStr">
        <is>
          <t>Procedimento estético</t>
        </is>
      </c>
      <c r="D118" s="87" t="n"/>
      <c r="E118" s="60" t="n">
        <v>0</v>
      </c>
      <c r="F118" s="60" t="n">
        <v>0</v>
      </c>
      <c r="G118" s="60" t="n">
        <v>0</v>
      </c>
      <c r="H118" s="60" t="n">
        <v>0</v>
      </c>
      <c r="I118" s="60" t="n">
        <v>0</v>
      </c>
      <c r="J118" s="60" t="n">
        <v>0</v>
      </c>
      <c r="K118" s="60" t="n">
        <v>0</v>
      </c>
      <c r="L118" s="60" t="n">
        <v>0</v>
      </c>
      <c r="M118" s="60" t="n">
        <v>0</v>
      </c>
      <c r="N118" s="60" t="n">
        <v>0</v>
      </c>
      <c r="O118" s="60" t="n">
        <v>0</v>
      </c>
      <c r="P118" s="60" t="n">
        <v>0</v>
      </c>
      <c r="Q118" s="31">
        <f>SUM(E118:P118)</f>
        <v/>
      </c>
    </row>
    <row r="119" ht="21.9" customHeight="1">
      <c r="B119" s="77" t="n"/>
      <c r="C119" s="37" t="inlineStr">
        <is>
          <t>Outros</t>
        </is>
      </c>
      <c r="D119" s="37" t="n"/>
      <c r="E119" s="61" t="n">
        <v>0</v>
      </c>
      <c r="F119" s="61" t="n">
        <v>0</v>
      </c>
      <c r="G119" s="61" t="n">
        <v>0</v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31">
        <f>SUM(E119:P119)</f>
        <v/>
      </c>
    </row>
    <row r="120" ht="21.9" customHeight="1">
      <c r="B120" s="77" t="n"/>
      <c r="C120" s="87" t="inlineStr">
        <is>
          <t>Outros</t>
        </is>
      </c>
      <c r="D120" s="87" t="n"/>
      <c r="E120" s="60" t="n">
        <v>0</v>
      </c>
      <c r="F120" s="60" t="n">
        <v>0</v>
      </c>
      <c r="G120" s="60" t="n">
        <v>0</v>
      </c>
      <c r="H120" s="60" t="n">
        <v>0</v>
      </c>
      <c r="I120" s="60" t="n">
        <v>0</v>
      </c>
      <c r="J120" s="60" t="n">
        <v>0</v>
      </c>
      <c r="K120" s="60" t="n">
        <v>0</v>
      </c>
      <c r="L120" s="60" t="n">
        <v>0</v>
      </c>
      <c r="M120" s="60" t="n">
        <v>0</v>
      </c>
      <c r="N120" s="60" t="n">
        <v>0</v>
      </c>
      <c r="O120" s="60" t="n">
        <v>0</v>
      </c>
      <c r="P120" s="60" t="n">
        <v>0</v>
      </c>
      <c r="Q120" s="31">
        <f>SUM(E120:P120)</f>
        <v/>
      </c>
    </row>
    <row r="121" ht="27.9" customHeight="1">
      <c r="A121" s="20" t="n"/>
      <c r="B121" s="20" t="n"/>
      <c r="C121" s="84" t="inlineStr">
        <is>
          <t>Total de Despesas com Beleza</t>
        </is>
      </c>
      <c r="D121" s="84" t="n"/>
      <c r="E121" s="62">
        <f>SUM(E114:E120)</f>
        <v/>
      </c>
      <c r="F121" s="62">
        <f>SUM(F114:F120)</f>
        <v/>
      </c>
      <c r="G121" s="62">
        <f>SUM(G114:G120)</f>
        <v/>
      </c>
      <c r="H121" s="62">
        <f>SUM(H114:H120)</f>
        <v/>
      </c>
      <c r="I121" s="62">
        <f>SUM(I114:I120)</f>
        <v/>
      </c>
      <c r="J121" s="62">
        <f>SUM(J114:J120)</f>
        <v/>
      </c>
      <c r="K121" s="62">
        <f>SUM(K114:K120)</f>
        <v/>
      </c>
      <c r="L121" s="62">
        <f>SUM(L114:L120)</f>
        <v/>
      </c>
      <c r="M121" s="62">
        <f>SUM(M114:M120)</f>
        <v/>
      </c>
      <c r="N121" s="62">
        <f>SUM(N114:N120)</f>
        <v/>
      </c>
      <c r="O121" s="62">
        <f>SUM(O114:O120)</f>
        <v/>
      </c>
      <c r="P121" s="62">
        <f>SUM(P114:P120)</f>
        <v/>
      </c>
      <c r="Q121" s="31">
        <f>SUM(E121:P121)</f>
        <v/>
      </c>
    </row>
    <row r="122" ht="15.9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</row>
    <row r="123" ht="21.9" customHeight="1">
      <c r="A123" s="127" t="inlineStr">
        <is>
          <t>Pets</t>
        </is>
      </c>
      <c r="B123" s="14" t="n"/>
      <c r="C123" s="72" t="inlineStr">
        <is>
          <t>Descrição</t>
        </is>
      </c>
      <c r="D123" s="72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</row>
    <row r="124" ht="21.9" customHeight="1">
      <c r="B124" s="15" t="n"/>
      <c r="C124" s="73" t="inlineStr">
        <is>
          <t>Veterinário/Medicamentos</t>
        </is>
      </c>
      <c r="D124" s="73" t="n"/>
      <c r="E124" s="55" t="n">
        <v>0</v>
      </c>
      <c r="F124" s="55" t="n">
        <v>0</v>
      </c>
      <c r="G124" s="55" t="n">
        <v>0</v>
      </c>
      <c r="H124" s="55" t="n">
        <v>0</v>
      </c>
      <c r="I124" s="55" t="n">
        <v>0</v>
      </c>
      <c r="J124" s="55" t="n">
        <v>0</v>
      </c>
      <c r="K124" s="55" t="n">
        <v>0</v>
      </c>
      <c r="L124" s="55" t="n">
        <v>0</v>
      </c>
      <c r="M124" s="55" t="n">
        <v>0</v>
      </c>
      <c r="N124" s="55" t="n">
        <v>0</v>
      </c>
      <c r="O124" s="55" t="n">
        <v>0</v>
      </c>
      <c r="P124" s="55" t="n">
        <v>0</v>
      </c>
      <c r="Q124" s="31">
        <f>SUM(E124:P124)</f>
        <v/>
      </c>
    </row>
    <row r="125" ht="21.9" customHeight="1">
      <c r="B125" s="15" t="n"/>
      <c r="C125" s="74" t="inlineStr">
        <is>
          <t>Plano de Saúde</t>
        </is>
      </c>
      <c r="D125" s="74" t="n"/>
      <c r="E125" s="54" t="n">
        <v>0</v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4" t="n">
        <v>0</v>
      </c>
      <c r="O125" s="54" t="n">
        <v>0</v>
      </c>
      <c r="P125" s="54" t="n">
        <v>0</v>
      </c>
      <c r="Q125" s="31">
        <f>SUM(E125:P125)</f>
        <v/>
      </c>
    </row>
    <row r="126" ht="21.9" customHeight="1">
      <c r="B126" s="15" t="n"/>
      <c r="C126" s="73" t="inlineStr">
        <is>
          <t>Petshop (Alimentação/Higiene/Brinquedos)</t>
        </is>
      </c>
      <c r="D126" s="73" t="n"/>
      <c r="E126" s="55" t="n">
        <v>0</v>
      </c>
      <c r="F126" s="55" t="n">
        <v>0</v>
      </c>
      <c r="G126" s="55" t="n">
        <v>0</v>
      </c>
      <c r="H126" s="55" t="n">
        <v>0</v>
      </c>
      <c r="I126" s="55" t="n">
        <v>0</v>
      </c>
      <c r="J126" s="55" t="n">
        <v>0</v>
      </c>
      <c r="K126" s="55" t="n">
        <v>0</v>
      </c>
      <c r="L126" s="55" t="n">
        <v>0</v>
      </c>
      <c r="M126" s="55" t="n">
        <v>0</v>
      </c>
      <c r="N126" s="55" t="n">
        <v>0</v>
      </c>
      <c r="O126" s="55" t="n">
        <v>0</v>
      </c>
      <c r="P126" s="55" t="n">
        <v>0</v>
      </c>
      <c r="Q126" s="31">
        <f>SUM(E126:P126)</f>
        <v/>
      </c>
    </row>
    <row r="127" ht="21.9" customHeight="1">
      <c r="B127" s="22" t="n"/>
      <c r="C127" s="74" t="inlineStr">
        <is>
          <t>Creche</t>
        </is>
      </c>
      <c r="D127" s="74" t="n"/>
      <c r="E127" s="54" t="n">
        <v>0</v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4" t="n">
        <v>0</v>
      </c>
      <c r="O127" s="54" t="n">
        <v>0</v>
      </c>
      <c r="P127" s="54" t="n">
        <v>0</v>
      </c>
      <c r="Q127" s="31">
        <f>SUM(E127:P127)</f>
        <v/>
      </c>
    </row>
    <row r="128" ht="21.9" customHeight="1">
      <c r="B128" s="22" t="n"/>
      <c r="C128" s="73" t="inlineStr">
        <is>
          <t>Outros</t>
        </is>
      </c>
      <c r="D128" s="73" t="n"/>
      <c r="E128" s="55" t="n">
        <v>0</v>
      </c>
      <c r="F128" s="55" t="n">
        <v>0</v>
      </c>
      <c r="G128" s="55" t="n">
        <v>0</v>
      </c>
      <c r="H128" s="55" t="n">
        <v>0</v>
      </c>
      <c r="I128" s="55" t="n">
        <v>0</v>
      </c>
      <c r="J128" s="55" t="n">
        <v>0</v>
      </c>
      <c r="K128" s="55" t="n">
        <v>0</v>
      </c>
      <c r="L128" s="55" t="n">
        <v>0</v>
      </c>
      <c r="M128" s="55" t="n">
        <v>0</v>
      </c>
      <c r="N128" s="55" t="n">
        <v>0</v>
      </c>
      <c r="O128" s="55" t="n">
        <v>0</v>
      </c>
      <c r="P128" s="55" t="n">
        <v>0</v>
      </c>
      <c r="Q128" s="31">
        <f>SUM(E128:P128)</f>
        <v/>
      </c>
    </row>
    <row r="129" ht="27.9" customFormat="1" customHeight="1" s="21">
      <c r="A129" s="20" t="n"/>
      <c r="B129" s="20" t="n"/>
      <c r="C129" s="82" t="inlineStr">
        <is>
          <t>Total de Despesas com Pets</t>
        </is>
      </c>
      <c r="D129" s="82" t="n"/>
      <c r="E129" s="56">
        <f>SUM(E124:E128)</f>
        <v/>
      </c>
      <c r="F129" s="56">
        <f>SUM(F124:F128)</f>
        <v/>
      </c>
      <c r="G129" s="56">
        <f>SUM(G124:G128)</f>
        <v/>
      </c>
      <c r="H129" s="56">
        <f>SUM(H124:H128)</f>
        <v/>
      </c>
      <c r="I129" s="56">
        <f>SUM(I124:I128)</f>
        <v/>
      </c>
      <c r="J129" s="56">
        <f>SUM(J124:J128)</f>
        <v/>
      </c>
      <c r="K129" s="56">
        <f>SUM(K124:K128)</f>
        <v/>
      </c>
      <c r="L129" s="56">
        <f>SUM(L124:L128)</f>
        <v/>
      </c>
      <c r="M129" s="56">
        <f>SUM(M124:M128)</f>
        <v/>
      </c>
      <c r="N129" s="56">
        <f>SUM(N124:N128)</f>
        <v/>
      </c>
      <c r="O129" s="56">
        <f>SUM(O124:O128)</f>
        <v/>
      </c>
      <c r="P129" s="56">
        <f>SUM(P124:P128)</f>
        <v/>
      </c>
      <c r="Q129" s="31">
        <f>SUM(E129:P129)</f>
        <v/>
      </c>
    </row>
    <row r="130" ht="15.9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 ht="30" customHeight="1">
      <c r="A131" s="83" t="inlineStr">
        <is>
          <t>Balanço</t>
        </is>
      </c>
      <c r="B131" s="83" t="n"/>
      <c r="C131" s="83" t="n"/>
      <c r="D131" s="83" t="n"/>
      <c r="E131" s="70" t="n"/>
      <c r="F131" s="70" t="n"/>
      <c r="G131" s="70" t="n"/>
      <c r="H131" s="70" t="n"/>
      <c r="I131" s="70" t="n"/>
      <c r="J131" s="70" t="n"/>
      <c r="K131" s="70" t="n"/>
      <c r="L131" s="70" t="n"/>
      <c r="M131" s="70" t="n"/>
      <c r="N131" s="70" t="n"/>
      <c r="O131" s="70" t="n"/>
      <c r="P131" s="70" t="n"/>
    </row>
    <row r="132" ht="9.9" customFormat="1" customHeight="1" s="77"/>
    <row r="133" ht="21.9" customFormat="1" customHeight="1" s="3">
      <c r="A133" s="78" t="inlineStr">
        <is>
          <t>Total em Receitas</t>
        </is>
      </c>
      <c r="B133" s="78" t="n"/>
      <c r="C133" s="78" t="n"/>
      <c r="D133" s="78" t="n"/>
      <c r="E133" s="63">
        <f>E18</f>
        <v/>
      </c>
      <c r="F133" s="63">
        <f>F18</f>
        <v/>
      </c>
      <c r="G133" s="63">
        <f>G18</f>
        <v/>
      </c>
      <c r="H133" s="63">
        <f>H18</f>
        <v/>
      </c>
      <c r="I133" s="63">
        <f>I18</f>
        <v/>
      </c>
      <c r="J133" s="63">
        <f>J18</f>
        <v/>
      </c>
      <c r="K133" s="63">
        <f>K18</f>
        <v/>
      </c>
      <c r="L133" s="63">
        <f>L18</f>
        <v/>
      </c>
      <c r="M133" s="24">
        <f>M18</f>
        <v/>
      </c>
      <c r="N133" s="67">
        <f>N18</f>
        <v/>
      </c>
      <c r="O133" s="63">
        <f>O18</f>
        <v/>
      </c>
      <c r="P133" s="63">
        <f>P18</f>
        <v/>
      </c>
      <c r="Q133" s="31">
        <f>SUM(E133:P133)</f>
        <v/>
      </c>
    </row>
    <row r="134" ht="21.9" customFormat="1" customHeight="1" s="3">
      <c r="A134" s="79" t="inlineStr">
        <is>
          <t>Total em Investimentos</t>
        </is>
      </c>
      <c r="B134" s="79" t="n"/>
      <c r="C134" s="79" t="n"/>
      <c r="D134" s="79" t="n"/>
      <c r="E134" s="64">
        <f>E35</f>
        <v/>
      </c>
      <c r="F134" s="64">
        <f>F35</f>
        <v/>
      </c>
      <c r="G134" s="64">
        <f>G35</f>
        <v/>
      </c>
      <c r="H134" s="64">
        <f>H35</f>
        <v/>
      </c>
      <c r="I134" s="64">
        <f>I35</f>
        <v/>
      </c>
      <c r="J134" s="64">
        <f>J35</f>
        <v/>
      </c>
      <c r="K134" s="64">
        <f>K35</f>
        <v/>
      </c>
      <c r="L134" s="64">
        <f>L35</f>
        <v/>
      </c>
      <c r="M134" s="64">
        <f>M35</f>
        <v/>
      </c>
      <c r="N134" s="64">
        <f>N35</f>
        <v/>
      </c>
      <c r="O134" s="64">
        <f>O35</f>
        <v/>
      </c>
      <c r="P134" s="64">
        <f>P35</f>
        <v/>
      </c>
      <c r="Q134" s="31">
        <f>SUM(E134:P134)</f>
        <v/>
      </c>
    </row>
    <row r="135" ht="21.9" customFormat="1" customHeight="1" s="3">
      <c r="A135" s="80" t="inlineStr">
        <is>
          <t>Total em Despesas</t>
        </is>
      </c>
      <c r="B135" s="80" t="n"/>
      <c r="C135" s="80" t="n"/>
      <c r="D135" s="80" t="n"/>
      <c r="E135" s="65">
        <f>SUM(E129,E121,E111,E100,E93,E85,E68,E53)</f>
        <v/>
      </c>
      <c r="F135" s="65">
        <f>SUM(F129,F121,F111,F100,F93,F85,F68,F53)</f>
        <v/>
      </c>
      <c r="G135" s="65">
        <f>SUM(G129,G121,G111,G100,G93,G85,G68,G53)</f>
        <v/>
      </c>
      <c r="H135" s="65">
        <f>SUM(H129,H121,H111,H100,H93,H85,H68,H53)</f>
        <v/>
      </c>
      <c r="I135" s="65">
        <f>SUM(I129,I121,I111,I100,I93,I85,I68,I53)</f>
        <v/>
      </c>
      <c r="J135" s="65">
        <f>SUM(J129,J121,J111,J100,J93,J85,J68,J53)</f>
        <v/>
      </c>
      <c r="K135" s="65">
        <f>SUM(K129,K121,K111,K100,K93,K85,K68,K53)</f>
        <v/>
      </c>
      <c r="L135" s="65">
        <f>SUM(L129,L121,L111,L100,L93,L85,L68,L53)</f>
        <v/>
      </c>
      <c r="M135" s="65">
        <f>SUM(M129,M121,M111,M100,M93,M85,M68,M53)</f>
        <v/>
      </c>
      <c r="N135" s="65">
        <f>SUM(N129,N121,N111,N100,N93,N85,N68,N53)</f>
        <v/>
      </c>
      <c r="O135" s="65">
        <f>SUM(O129,O121,O111,O100,O93,O85,O68,O53)</f>
        <v/>
      </c>
      <c r="P135" s="65">
        <f>SUM(P129,P121,P111,P100,P93,P85,P68,P53)</f>
        <v/>
      </c>
      <c r="Q135" s="31">
        <f>SUM(E135:P135)</f>
        <v/>
      </c>
    </row>
    <row r="136" ht="27.9" customFormat="1" customHeight="1" s="29">
      <c r="A136" s="81" t="inlineStr">
        <is>
          <t>Saldo</t>
        </is>
      </c>
      <c r="B136" s="81" t="n"/>
      <c r="C136" s="81" t="n"/>
      <c r="D136" s="81" t="n"/>
      <c r="E136" s="66">
        <f>SUM(E133-E134)-E135</f>
        <v/>
      </c>
      <c r="F136" s="66">
        <f>SUM(F133-F134)-F135</f>
        <v/>
      </c>
      <c r="G136" s="66">
        <f>SUM(G133-G134)-G135</f>
        <v/>
      </c>
      <c r="H136" s="66">
        <f>SUM(H133-H134)-H135</f>
        <v/>
      </c>
      <c r="I136" s="66">
        <f>SUM(I133-I134)-I135</f>
        <v/>
      </c>
      <c r="J136" s="66">
        <f>SUM(J133-J134)-J135</f>
        <v/>
      </c>
      <c r="K136" s="66">
        <f>SUM(K133-K134)-K135</f>
        <v/>
      </c>
      <c r="L136" s="66">
        <f>SUM(L133-L134)-L135</f>
        <v/>
      </c>
      <c r="M136" s="66">
        <f>SUM(M133-M134)-M135</f>
        <v/>
      </c>
      <c r="N136" s="66">
        <f>SUM(N133-N134)-N135</f>
        <v/>
      </c>
      <c r="O136" s="66">
        <f>SUM(O133-O134)-O135</f>
        <v/>
      </c>
      <c r="P136" s="66">
        <f>SUM(P133-P134)-P135</f>
        <v/>
      </c>
      <c r="Q136" s="31">
        <f>SUM(E136:P136)</f>
        <v/>
      </c>
    </row>
    <row r="137" ht="32.1" customHeight="1">
      <c r="A137" s="1" t="n"/>
      <c r="B137" s="1" t="n"/>
      <c r="C137" s="6" t="n"/>
      <c r="D137" s="4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 ht="32.1" customFormat="1" customHeight="1" s="23">
      <c r="A138" s="89" t="inlineStr">
        <is>
          <t>Quanto do meu orçamento eu invisto</t>
        </is>
      </c>
      <c r="B138" s="89" t="n"/>
      <c r="C138" s="89" t="n"/>
      <c r="D138" s="89" t="n"/>
      <c r="E138" s="25">
        <f>IFERROR(E134/E133,"0%")</f>
        <v/>
      </c>
      <c r="F138" s="25">
        <f>IFERROR(F35/F18,"0%")</f>
        <v/>
      </c>
      <c r="G138" s="25">
        <f>IFERROR(G35/G18,"0%")</f>
        <v/>
      </c>
      <c r="H138" s="25">
        <f>IFERROR(H35/H18,"0%")</f>
        <v/>
      </c>
      <c r="I138" s="25">
        <f>IFERROR(I35/I18,"0%")</f>
        <v/>
      </c>
      <c r="J138" s="25">
        <f>IFERROR(J35/J18,"0%")</f>
        <v/>
      </c>
      <c r="K138" s="25">
        <f>IFERROR(K35/K18,"0%")</f>
        <v/>
      </c>
      <c r="L138" s="25">
        <f>IFERROR(L35/L18,"0%")</f>
        <v/>
      </c>
      <c r="M138" s="25">
        <f>IFERROR(M35/M18,"0%")</f>
        <v/>
      </c>
      <c r="N138" s="25">
        <f>IFERROR(N35/N18,"0%")</f>
        <v/>
      </c>
      <c r="O138" s="25">
        <f>IFERROR(O35/O18,"0%")</f>
        <v/>
      </c>
      <c r="P138" s="25">
        <f>IFERROR(P35/P18,"0%")</f>
        <v/>
      </c>
      <c r="Q138" s="32" t="n"/>
    </row>
    <row r="139" ht="32.1" customFormat="1" customHeight="1" s="23">
      <c r="A139" s="90" t="inlineStr">
        <is>
          <t>Quanto do meu orçamento é despesa</t>
        </is>
      </c>
      <c r="B139" s="90" t="n"/>
      <c r="C139" s="90" t="n"/>
      <c r="D139" s="90" t="n"/>
      <c r="E139" s="26">
        <f>IFERROR(E135/E133,"0%")</f>
        <v/>
      </c>
      <c r="F139" s="26">
        <f>IFERROR(F135/F133,"0%")</f>
        <v/>
      </c>
      <c r="G139" s="26">
        <f>IFERROR(G135/G133,"0%")</f>
        <v/>
      </c>
      <c r="H139" s="26">
        <f>IFERROR(H135/H133,"0%")</f>
        <v/>
      </c>
      <c r="I139" s="26">
        <f>IFERROR(I135/I133,"0%")</f>
        <v/>
      </c>
      <c r="J139" s="26">
        <f>IFERROR(J135/J133,"0%")</f>
        <v/>
      </c>
      <c r="K139" s="26">
        <f>IFERROR(K135/K133,"0%")</f>
        <v/>
      </c>
      <c r="L139" s="26">
        <f>IFERROR(L135/L133,"0%")</f>
        <v/>
      </c>
      <c r="M139" s="26">
        <f>IFERROR(M135/M133,"0%")</f>
        <v/>
      </c>
      <c r="N139" s="26">
        <f>IFERROR(N135/N133,"0%")</f>
        <v/>
      </c>
      <c r="O139" s="26">
        <f>IFERROR(O135/O133,"0%")</f>
        <v/>
      </c>
      <c r="P139" s="26">
        <f>IFERROR(P135/P133,"0%")</f>
        <v/>
      </c>
      <c r="Q139" s="32" t="n"/>
    </row>
    <row r="140" ht="32.1" customHeight="1">
      <c r="E140" s="30" t="n"/>
    </row>
    <row r="141" ht="21.9" customHeight="1">
      <c r="A141" s="76" t="n"/>
      <c r="B141" s="76" t="n"/>
      <c r="C141" s="76" t="n"/>
      <c r="D141" s="76" t="n"/>
      <c r="E141" s="124" t="n"/>
    </row>
    <row r="142" ht="21.9" customHeight="1">
      <c r="A142" s="114" t="inlineStr">
        <is>
          <t>Por: Ana C, Giovana, Isabela, Paola e Rauanny.</t>
        </is>
      </c>
      <c r="B142" s="76" t="n"/>
      <c r="C142" s="76" t="n"/>
      <c r="D142" s="76" t="n"/>
    </row>
    <row r="143" ht="21.9" customHeight="1">
      <c r="A143" s="76" t="n"/>
      <c r="B143" s="76" t="n"/>
      <c r="C143" s="76" t="n"/>
      <c r="D143" s="76" t="n"/>
      <c r="E143" s="125" t="n"/>
    </row>
    <row r="144" ht="21.9" customHeight="1">
      <c r="A144" s="76" t="n"/>
      <c r="B144" s="76" t="n"/>
      <c r="C144" s="76" t="n"/>
      <c r="D144" s="76" t="n"/>
    </row>
  </sheetData>
  <mergeCells count="32">
    <mergeCell ref="A1:D2"/>
    <mergeCell ref="A4:D4"/>
    <mergeCell ref="A95:A99"/>
    <mergeCell ref="B59:B62"/>
    <mergeCell ref="E1:E2"/>
    <mergeCell ref="K1:K2"/>
    <mergeCell ref="A123:A128"/>
    <mergeCell ref="M1:M2"/>
    <mergeCell ref="O1:O2"/>
    <mergeCell ref="Q1:Q2"/>
    <mergeCell ref="A70:A84"/>
    <mergeCell ref="A87:A92"/>
    <mergeCell ref="A55:A67"/>
    <mergeCell ref="E141:P142"/>
    <mergeCell ref="L1:L2"/>
    <mergeCell ref="N1:N2"/>
    <mergeCell ref="B45:B51"/>
    <mergeCell ref="A39:A52"/>
    <mergeCell ref="E143:P144"/>
    <mergeCell ref="B90:B92"/>
    <mergeCell ref="A102:A110"/>
    <mergeCell ref="A113:A120"/>
    <mergeCell ref="A6:A17"/>
    <mergeCell ref="G1:G2"/>
    <mergeCell ref="I1:I2"/>
    <mergeCell ref="A37:D37"/>
    <mergeCell ref="B74:B79"/>
    <mergeCell ref="A20:A34"/>
    <mergeCell ref="F1:F2"/>
    <mergeCell ref="H1:H2"/>
    <mergeCell ref="J1:J2"/>
    <mergeCell ref="P1:P2"/>
  </mergeCells>
  <conditionalFormatting sqref="E136:P136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headerFooter>
    <oddHeader/>
    <oddFooter>&amp;L&amp;"Calibri"&amp;9 &amp;K000000_x000d_# Corporativo | Interno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55" zoomScaleNormal="55" workbookViewId="0">
      <selection activeCell="Q25" sqref="Q25"/>
    </sheetView>
  </sheetViews>
  <sheetFormatPr baseColWidth="8" defaultColWidth="8.88671875" defaultRowHeight="14.4"/>
  <sheetData/>
  <pageMargins left="0.511811024" right="0.511811024" top="0.787401575" bottom="0.787401575" header="0.31496062" footer="0.31496062"/>
  <headerFooter>
    <oddHeader/>
    <oddFooter>&amp;L&amp;"Calibri"&amp;9 &amp;K000000_x000d_# Corporativo | Interno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M1" zoomScale="95" zoomScaleNormal="95" workbookViewId="0">
      <selection activeCell="AI47" sqref="AI47"/>
    </sheetView>
  </sheetViews>
  <sheetFormatPr baseColWidth="8" defaultColWidth="8.88671875" defaultRowHeight="14.4"/>
  <sheetData/>
  <pageMargins left="0.511811024" right="0.511811024" top="0.787401575" bottom="0.787401575" header="0.31496062" footer="0.31496062"/>
  <headerFooter>
    <oddHeader/>
    <oddFooter>&amp;L&amp;"Calibri"&amp;9 &amp;K000000_x000d_# Corporativo | Interno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P24" sqref="P24"/>
    </sheetView>
  </sheetViews>
  <sheetFormatPr baseColWidth="8" defaultRowHeight="14.4"/>
  <cols>
    <col width="30" customWidth="1" min="1" max="1"/>
    <col width="11.109375" customWidth="1" min="2" max="2"/>
    <col width="20.5546875" customWidth="1" min="3" max="3"/>
  </cols>
  <sheetData>
    <row r="1">
      <c r="A1" s="103" t="inlineStr">
        <is>
          <t>Categoria</t>
        </is>
      </c>
      <c r="B1" s="103" t="inlineStr">
        <is>
          <t>Valor (R$)</t>
        </is>
      </c>
      <c r="C1" s="103" t="inlineStr">
        <is>
          <t>Tipo</t>
        </is>
      </c>
    </row>
    <row r="2">
      <c r="A2" s="104" t="inlineStr">
        <is>
          <t>Essenciais - Salário 1 (R$ 2799,27)</t>
        </is>
      </c>
      <c r="B2" s="104" t="n">
        <v>1959.42</v>
      </c>
      <c r="C2" s="104" t="inlineStr">
        <is>
          <t>Essenciais</t>
        </is>
      </c>
    </row>
    <row r="3">
      <c r="A3" s="104" t="inlineStr">
        <is>
          <t>Moradia</t>
        </is>
      </c>
      <c r="B3" s="104" t="n">
        <v>1353.75</v>
      </c>
      <c r="C3" s="104" t="inlineStr">
        <is>
          <t>Essenciais</t>
        </is>
      </c>
    </row>
    <row r="4">
      <c r="A4" s="95" t="inlineStr">
        <is>
          <t>Aluguel</t>
        </is>
      </c>
      <c r="B4" s="95" t="n">
        <v>1000</v>
      </c>
      <c r="C4" s="95" t="inlineStr">
        <is>
          <t>Moradia</t>
        </is>
      </c>
    </row>
    <row r="5">
      <c r="A5" s="95" t="inlineStr">
        <is>
          <t>Água</t>
        </is>
      </c>
      <c r="B5" s="95" t="n">
        <v>50</v>
      </c>
      <c r="C5" s="95" t="inlineStr">
        <is>
          <t>Moradia</t>
        </is>
      </c>
    </row>
    <row r="6">
      <c r="A6" s="95" t="inlineStr">
        <is>
          <t>Energia</t>
        </is>
      </c>
      <c r="B6" s="95" t="n">
        <v>160</v>
      </c>
      <c r="C6" s="95" t="inlineStr">
        <is>
          <t>Moradia</t>
        </is>
      </c>
    </row>
    <row r="7">
      <c r="A7" s="95" t="inlineStr">
        <is>
          <t>Gás</t>
        </is>
      </c>
      <c r="B7" s="95" t="n">
        <v>23.75</v>
      </c>
      <c r="C7" s="95" t="inlineStr">
        <is>
          <t>Moradia</t>
        </is>
      </c>
    </row>
    <row r="8">
      <c r="A8" s="95" t="inlineStr">
        <is>
          <t>Internet</t>
        </is>
      </c>
      <c r="B8" s="95" t="n">
        <v>100</v>
      </c>
      <c r="C8" s="95" t="inlineStr">
        <is>
          <t>Moradia</t>
        </is>
      </c>
    </row>
    <row r="9">
      <c r="A9" s="95" t="inlineStr">
        <is>
          <t>Celular</t>
        </is>
      </c>
      <c r="B9" s="95" t="n">
        <v>20</v>
      </c>
      <c r="C9" s="95" t="inlineStr">
        <is>
          <t>Moradia</t>
        </is>
      </c>
    </row>
    <row r="10">
      <c r="A10" s="104" t="inlineStr">
        <is>
          <t>Alimentação</t>
        </is>
      </c>
      <c r="B10" s="104" t="n">
        <v>251.92</v>
      </c>
      <c r="C10" s="104" t="inlineStr">
        <is>
          <t>Essenciais</t>
        </is>
      </c>
    </row>
    <row r="11">
      <c r="A11" s="95" t="inlineStr">
        <is>
          <t>Carne</t>
        </is>
      </c>
      <c r="B11" s="95" t="n">
        <v>80</v>
      </c>
      <c r="C11" s="95" t="inlineStr">
        <is>
          <t>Alimentação</t>
        </is>
      </c>
    </row>
    <row r="12">
      <c r="A12" s="95" t="inlineStr">
        <is>
          <t>Arroz</t>
        </is>
      </c>
      <c r="B12" s="95" t="n">
        <v>20</v>
      </c>
      <c r="C12" s="95" t="inlineStr">
        <is>
          <t>Alimentação</t>
        </is>
      </c>
    </row>
    <row r="13">
      <c r="A13" s="95" t="inlineStr">
        <is>
          <t>Feijão</t>
        </is>
      </c>
      <c r="B13" s="95" t="n">
        <v>8</v>
      </c>
      <c r="C13" s="95" t="inlineStr">
        <is>
          <t>Alimentação</t>
        </is>
      </c>
    </row>
    <row r="14">
      <c r="A14" s="95" t="inlineStr">
        <is>
          <t>Frutas e verduras</t>
        </is>
      </c>
      <c r="B14" s="95" t="n">
        <v>50</v>
      </c>
      <c r="C14" s="95" t="inlineStr">
        <is>
          <t>Alimentação</t>
        </is>
      </c>
    </row>
    <row r="15">
      <c r="A15" s="95" t="inlineStr">
        <is>
          <t>Lacticínios e ovos</t>
        </is>
      </c>
      <c r="B15" s="95" t="n">
        <v>50</v>
      </c>
      <c r="C15" s="95" t="inlineStr">
        <is>
          <t>Alimentação</t>
        </is>
      </c>
    </row>
    <row r="16">
      <c r="A16" s="95" t="inlineStr">
        <is>
          <t>Pão e café</t>
        </is>
      </c>
      <c r="B16" s="95" t="n">
        <v>23.92</v>
      </c>
      <c r="C16" s="95" t="inlineStr">
        <is>
          <t>Alimentação</t>
        </is>
      </c>
    </row>
    <row r="17">
      <c r="A17" s="95" t="inlineStr">
        <is>
          <t>Outros</t>
        </is>
      </c>
      <c r="B17" s="95" t="n">
        <v>20</v>
      </c>
      <c r="C17" s="95" t="inlineStr">
        <is>
          <t>Alimentação</t>
        </is>
      </c>
    </row>
    <row r="18">
      <c r="A18" s="104" t="inlineStr">
        <is>
          <t>Transporte</t>
        </is>
      </c>
      <c r="B18" s="104" t="n">
        <v>253.75</v>
      </c>
      <c r="C18" s="104" t="inlineStr">
        <is>
          <t>Essenciais</t>
        </is>
      </c>
    </row>
    <row r="19">
      <c r="A19" s="95" t="inlineStr">
        <is>
          <t>Combustível</t>
        </is>
      </c>
      <c r="B19" s="95" t="n">
        <v>178.75</v>
      </c>
      <c r="C19" s="95" t="inlineStr">
        <is>
          <t>Transporte</t>
        </is>
      </c>
    </row>
    <row r="20">
      <c r="A20" s="95" t="inlineStr">
        <is>
          <t>IPVA, Licenciamento</t>
        </is>
      </c>
      <c r="B20" s="95" t="n">
        <v>25</v>
      </c>
      <c r="C20" s="95" t="inlineStr">
        <is>
          <t>Transporte</t>
        </is>
      </c>
    </row>
    <row r="21">
      <c r="A21" s="95" t="inlineStr">
        <is>
          <t>Manutenção</t>
        </is>
      </c>
      <c r="B21" s="95" t="n">
        <v>50</v>
      </c>
      <c r="C21" s="95" t="inlineStr">
        <is>
          <t>Transporte</t>
        </is>
      </c>
    </row>
    <row r="22">
      <c r="A22" s="104" t="inlineStr">
        <is>
          <t>Saúde e Higiene</t>
        </is>
      </c>
      <c r="B22" s="104" t="n">
        <v>100</v>
      </c>
      <c r="C22" s="104" t="inlineStr">
        <is>
          <t>Essenciais</t>
        </is>
      </c>
    </row>
    <row r="23">
      <c r="A23" s="95" t="inlineStr">
        <is>
          <t>Medicamentos</t>
        </is>
      </c>
      <c r="B23" s="95" t="n">
        <v>50</v>
      </c>
      <c r="C23" s="95" t="inlineStr">
        <is>
          <t>Saúde e Higiene</t>
        </is>
      </c>
    </row>
    <row r="24">
      <c r="A24" s="95" t="inlineStr">
        <is>
          <t>Higiene e limpeza</t>
        </is>
      </c>
      <c r="B24" s="95" t="n">
        <v>50</v>
      </c>
      <c r="C24" s="95" t="inlineStr">
        <is>
          <t>Saúde e Higiene</t>
        </is>
      </c>
    </row>
    <row r="25">
      <c r="A25" s="105" t="inlineStr">
        <is>
          <t>Desejos</t>
        </is>
      </c>
      <c r="B25" s="105" t="n">
        <v>280</v>
      </c>
      <c r="C25" s="105" t="inlineStr">
        <is>
          <t>Desejos</t>
        </is>
      </c>
    </row>
    <row r="26">
      <c r="A26" s="105" t="inlineStr">
        <is>
          <t>Lazer</t>
        </is>
      </c>
      <c r="B26" s="105" t="n">
        <v>50</v>
      </c>
      <c r="C26" s="105" t="inlineStr">
        <is>
          <t>Desejos</t>
        </is>
      </c>
    </row>
    <row r="27">
      <c r="A27" s="105" t="inlineStr">
        <is>
          <t>Comer fora</t>
        </is>
      </c>
      <c r="B27" s="105" t="n">
        <v>50</v>
      </c>
      <c r="C27" s="105" t="inlineStr">
        <is>
          <t>Desejos</t>
        </is>
      </c>
    </row>
    <row r="28">
      <c r="A28" s="105" t="inlineStr">
        <is>
          <t>Assinaturas</t>
        </is>
      </c>
      <c r="B28" s="105" t="n">
        <v>50</v>
      </c>
      <c r="C28" s="105" t="inlineStr">
        <is>
          <t>Desejos</t>
        </is>
      </c>
    </row>
    <row r="29">
      <c r="A29" s="105" t="inlineStr">
        <is>
          <t>Viagens</t>
        </is>
      </c>
      <c r="B29" s="105" t="n">
        <v>50</v>
      </c>
      <c r="C29" s="105" t="inlineStr">
        <is>
          <t>Desejos</t>
        </is>
      </c>
    </row>
    <row r="30">
      <c r="A30" s="105" t="inlineStr">
        <is>
          <t>Outros</t>
        </is>
      </c>
      <c r="B30" s="105" t="n">
        <v>80</v>
      </c>
      <c r="C30" s="105" t="inlineStr">
        <is>
          <t>Desejos</t>
        </is>
      </c>
    </row>
    <row r="31">
      <c r="A31" s="106" t="inlineStr">
        <is>
          <t>Poupança e Metas</t>
        </is>
      </c>
      <c r="B31" s="106" t="n">
        <v>559.85</v>
      </c>
      <c r="C31" s="106" t="inlineStr">
        <is>
          <t>Poupança e Metas</t>
        </is>
      </c>
    </row>
    <row r="32">
      <c r="A32" s="106" t="inlineStr">
        <is>
          <t>Reserva Emergência</t>
        </is>
      </c>
      <c r="B32" s="106" t="n">
        <v>279.92</v>
      </c>
      <c r="C32" s="106" t="inlineStr">
        <is>
          <t>Poupança e Metas</t>
        </is>
      </c>
    </row>
    <row r="33">
      <c r="A33" s="106" t="inlineStr">
        <is>
          <t>Investimentos Curto Prazo</t>
        </is>
      </c>
      <c r="B33" s="106" t="n">
        <v>139.96</v>
      </c>
      <c r="C33" s="106" t="inlineStr">
        <is>
          <t>Poupança e Metas</t>
        </is>
      </c>
    </row>
    <row r="34">
      <c r="A34" s="106" t="inlineStr">
        <is>
          <t>Investimentos Longo Prazo</t>
        </is>
      </c>
      <c r="B34" s="106" t="n">
        <v>139.96</v>
      </c>
      <c r="C34" s="106" t="inlineStr">
        <is>
          <t>Poupança e Metas</t>
        </is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C13" sqref="C13"/>
    </sheetView>
  </sheetViews>
  <sheetFormatPr baseColWidth="8" defaultRowHeight="14.4"/>
  <cols>
    <col width="22.109375" customWidth="1" min="1" max="1"/>
    <col width="22.44140625" customWidth="1" min="2" max="2"/>
  </cols>
  <sheetData>
    <row r="1">
      <c r="A1" s="96" t="inlineStr">
        <is>
          <t>Categoria</t>
        </is>
      </c>
      <c r="B1" s="96" t="inlineStr">
        <is>
          <t>Gastos Essenciais (R$)</t>
        </is>
      </c>
    </row>
    <row r="2">
      <c r="A2" s="95" t="inlineStr">
        <is>
          <t>Aluguel</t>
        </is>
      </c>
      <c r="B2" s="95" t="n">
        <v>1000</v>
      </c>
    </row>
    <row r="3">
      <c r="A3" s="95" t="inlineStr">
        <is>
          <t>Água</t>
        </is>
      </c>
      <c r="B3" s="95" t="n">
        <v>50</v>
      </c>
    </row>
    <row r="4">
      <c r="A4" s="95" t="inlineStr">
        <is>
          <t>Energia</t>
        </is>
      </c>
      <c r="B4" s="95" t="n">
        <v>160</v>
      </c>
    </row>
    <row r="5">
      <c r="A5" s="95" t="inlineStr">
        <is>
          <t>Gás de Cozinha</t>
        </is>
      </c>
      <c r="B5" s="95" t="n">
        <v>23.75</v>
      </c>
    </row>
    <row r="6">
      <c r="A6" s="95" t="inlineStr">
        <is>
          <t>Internet</t>
        </is>
      </c>
      <c r="B6" s="95" t="n">
        <v>100</v>
      </c>
    </row>
    <row r="7">
      <c r="A7" s="95" t="inlineStr">
        <is>
          <t>Plano de Celular</t>
        </is>
      </c>
      <c r="B7" s="95" t="n">
        <v>20</v>
      </c>
    </row>
    <row r="8">
      <c r="A8" s="95" t="inlineStr">
        <is>
          <t>Carne</t>
        </is>
      </c>
      <c r="B8" s="95" t="n">
        <v>80</v>
      </c>
    </row>
    <row r="9">
      <c r="A9" s="95" t="inlineStr">
        <is>
          <t>Arroz</t>
        </is>
      </c>
      <c r="B9" s="95" t="n">
        <v>20</v>
      </c>
    </row>
    <row r="10">
      <c r="A10" s="95" t="inlineStr">
        <is>
          <t>Feijão</t>
        </is>
      </c>
      <c r="B10" s="95" t="n">
        <v>8</v>
      </c>
    </row>
    <row r="11">
      <c r="A11" s="95" t="inlineStr">
        <is>
          <t>Frutas e Verduras</t>
        </is>
      </c>
      <c r="B11" s="95" t="n">
        <v>50</v>
      </c>
    </row>
    <row r="12">
      <c r="A12" s="95" t="inlineStr">
        <is>
          <t>Lacticínios e Ovos</t>
        </is>
      </c>
      <c r="B12" s="95" t="n">
        <v>50</v>
      </c>
    </row>
    <row r="13">
      <c r="A13" s="95" t="inlineStr">
        <is>
          <t>Pão e Café</t>
        </is>
      </c>
      <c r="B13" s="95" t="n">
        <v>23.92</v>
      </c>
    </row>
    <row r="14">
      <c r="A14" s="95" t="inlineStr">
        <is>
          <t>Outras compras</t>
        </is>
      </c>
      <c r="B14" s="95" t="n">
        <v>20</v>
      </c>
    </row>
    <row r="15">
      <c r="A15" s="95" t="inlineStr">
        <is>
          <t>Combustível</t>
        </is>
      </c>
      <c r="B15" s="95" t="n">
        <v>178.75</v>
      </c>
    </row>
    <row r="16">
      <c r="A16" s="95" t="inlineStr">
        <is>
          <t>IPVA e Licenciamento</t>
        </is>
      </c>
      <c r="B16" s="95" t="n">
        <v>25</v>
      </c>
    </row>
    <row r="17">
      <c r="A17" s="95" t="inlineStr">
        <is>
          <t>Manutenção Moto</t>
        </is>
      </c>
      <c r="B17" s="95" t="n">
        <v>50</v>
      </c>
    </row>
    <row r="18">
      <c r="A18" s="95" t="inlineStr">
        <is>
          <t>Medicamentos</t>
        </is>
      </c>
      <c r="B18" s="95" t="n">
        <v>50</v>
      </c>
    </row>
    <row r="19">
      <c r="A19" s="95" t="inlineStr">
        <is>
          <t>Higiene Pessoal</t>
        </is>
      </c>
      <c r="B19" s="95" t="n">
        <v>50</v>
      </c>
    </row>
    <row r="20">
      <c r="A20" s="94" t="inlineStr">
        <is>
          <t>Categoria</t>
        </is>
      </c>
      <c r="B20" s="94" t="inlineStr">
        <is>
          <t>Gastos Desejos (R$)</t>
        </is>
      </c>
    </row>
    <row r="21">
      <c r="A21" s="95" t="inlineStr">
        <is>
          <t>Cinema e saídas</t>
        </is>
      </c>
      <c r="B21" s="95" t="n">
        <v>50</v>
      </c>
    </row>
    <row r="22">
      <c r="A22" s="95" t="inlineStr">
        <is>
          <t>Comer fora</t>
        </is>
      </c>
      <c r="B22" s="95" t="n">
        <v>50</v>
      </c>
    </row>
    <row r="23">
      <c r="A23" s="95" t="inlineStr">
        <is>
          <t>Assinaturas</t>
        </is>
      </c>
      <c r="B23" s="95" t="n">
        <v>50</v>
      </c>
    </row>
    <row r="24">
      <c r="A24" s="95" t="inlineStr">
        <is>
          <t>Viagens curtas</t>
        </is>
      </c>
      <c r="B24" s="95" t="n">
        <v>50</v>
      </c>
    </row>
    <row r="25">
      <c r="A25" s="95" t="inlineStr">
        <is>
          <t>Flexibilidades</t>
        </is>
      </c>
      <c r="B25" s="95" t="n">
        <v>80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topLeftCell="A4" workbookViewId="0">
      <selection activeCell="E23" sqref="E23"/>
    </sheetView>
  </sheetViews>
  <sheetFormatPr baseColWidth="8" defaultRowHeight="14.4"/>
  <cols>
    <col width="21.33203125" customWidth="1" min="1" max="1"/>
    <col width="25.33203125" customWidth="1" min="2" max="2"/>
    <col width="25" customWidth="1" min="3" max="3"/>
  </cols>
  <sheetData>
    <row r="1">
      <c r="A1" s="97" t="inlineStr">
        <is>
          <t>Categoria</t>
        </is>
      </c>
      <c r="B1" s="144" t="inlineStr">
        <is>
          <t>Essenciais - Estagiário (R$ 800)</t>
        </is>
      </c>
      <c r="C1" s="144" t="inlineStr">
        <is>
          <t>Essenciais - Empregado (R$ 2000)</t>
        </is>
      </c>
      <c r="D1" s="145" t="inlineStr">
        <is>
          <t>Essenciais - Progressão (R$ 5000)</t>
        </is>
      </c>
      <c r="E1" s="145" t="inlineStr">
        <is>
          <t>Essenciais - Estável (R$ 10000)</t>
        </is>
      </c>
      <c r="F1" s="145" t="inlineStr">
        <is>
          <t>Essenciais - Tô Ficando Bom (R$ 20000)</t>
        </is>
      </c>
      <c r="G1" s="145" t="inlineStr">
        <is>
          <t>Essenciais - Agora Vai (R$ 30000)</t>
        </is>
      </c>
    </row>
    <row r="2">
      <c r="A2" s="98" t="inlineStr">
        <is>
          <t>Aluguel</t>
        </is>
      </c>
      <c r="B2" s="146" t="n">
        <v>22.22222222222222</v>
      </c>
      <c r="C2" s="146" t="n">
        <v>55.55555555555556</v>
      </c>
      <c r="D2" s="147" t="n">
        <v>138.8888888888889</v>
      </c>
      <c r="E2" s="147" t="n">
        <v>277.7777777777778</v>
      </c>
      <c r="F2" s="147" t="n">
        <v>555.5555555555555</v>
      </c>
      <c r="G2" s="147" t="n">
        <v>833.3333333333334</v>
      </c>
    </row>
    <row r="3">
      <c r="A3" s="98" t="inlineStr">
        <is>
          <t>Água</t>
        </is>
      </c>
      <c r="B3" s="146" t="n">
        <v>22.22222222222222</v>
      </c>
      <c r="C3" s="146" t="n">
        <v>55.55555555555556</v>
      </c>
      <c r="D3" s="147" t="n">
        <v>138.8888888888889</v>
      </c>
      <c r="E3" s="147" t="n">
        <v>277.7777777777778</v>
      </c>
      <c r="F3" s="147" t="n">
        <v>555.5555555555555</v>
      </c>
      <c r="G3" s="147" t="n">
        <v>833.3333333333334</v>
      </c>
    </row>
    <row r="4">
      <c r="A4" s="98" t="inlineStr">
        <is>
          <t>Energia</t>
        </is>
      </c>
      <c r="B4" s="146" t="n">
        <v>22.22222222222222</v>
      </c>
      <c r="C4" s="146" t="n">
        <v>55.55555555555556</v>
      </c>
      <c r="D4" s="147" t="n">
        <v>138.8888888888889</v>
      </c>
      <c r="E4" s="147" t="n">
        <v>277.7777777777778</v>
      </c>
      <c r="F4" s="147" t="n">
        <v>555.5555555555555</v>
      </c>
      <c r="G4" s="147" t="n">
        <v>833.3333333333334</v>
      </c>
    </row>
    <row r="5">
      <c r="A5" s="98" t="inlineStr">
        <is>
          <t>Gás de Cozinha</t>
        </is>
      </c>
      <c r="B5" s="146" t="n">
        <v>22.22222222222222</v>
      </c>
      <c r="C5" s="146" t="n">
        <v>55.55555555555556</v>
      </c>
      <c r="D5" s="147" t="n">
        <v>138.8888888888889</v>
      </c>
      <c r="E5" s="147" t="n">
        <v>277.7777777777778</v>
      </c>
      <c r="F5" s="147" t="n">
        <v>555.5555555555555</v>
      </c>
      <c r="G5" s="147" t="n">
        <v>833.3333333333334</v>
      </c>
    </row>
    <row r="6">
      <c r="A6" s="98" t="inlineStr">
        <is>
          <t>Internet</t>
        </is>
      </c>
      <c r="B6" s="146" t="n">
        <v>22.22222222222222</v>
      </c>
      <c r="C6" s="146" t="n">
        <v>55.55555555555556</v>
      </c>
      <c r="D6" s="147" t="n">
        <v>138.8888888888889</v>
      </c>
      <c r="E6" s="147" t="n">
        <v>277.7777777777778</v>
      </c>
      <c r="F6" s="147" t="n">
        <v>555.5555555555555</v>
      </c>
      <c r="G6" s="147" t="n">
        <v>833.3333333333334</v>
      </c>
    </row>
    <row r="7">
      <c r="A7" s="98" t="inlineStr">
        <is>
          <t>Plano de Celular</t>
        </is>
      </c>
      <c r="B7" s="146" t="n">
        <v>22.22222222222222</v>
      </c>
      <c r="C7" s="146" t="n">
        <v>55.55555555555556</v>
      </c>
      <c r="D7" s="147" t="n">
        <v>138.8888888888889</v>
      </c>
      <c r="E7" s="147" t="n">
        <v>277.7777777777778</v>
      </c>
      <c r="F7" s="147" t="n">
        <v>555.5555555555555</v>
      </c>
      <c r="G7" s="147" t="n">
        <v>833.3333333333334</v>
      </c>
    </row>
    <row r="8">
      <c r="A8" s="98" t="inlineStr">
        <is>
          <t>Carne</t>
        </is>
      </c>
      <c r="B8" s="146" t="n">
        <v>22.22222222222222</v>
      </c>
      <c r="C8" s="146" t="n">
        <v>55.55555555555556</v>
      </c>
      <c r="D8" s="147" t="n">
        <v>138.8888888888889</v>
      </c>
      <c r="E8" s="147" t="n">
        <v>277.7777777777778</v>
      </c>
      <c r="F8" s="147" t="n">
        <v>555.5555555555555</v>
      </c>
      <c r="G8" s="147" t="n">
        <v>833.3333333333334</v>
      </c>
    </row>
    <row r="9">
      <c r="A9" s="98" t="inlineStr">
        <is>
          <t>Arroz</t>
        </is>
      </c>
      <c r="B9" s="146" t="n">
        <v>22.22222222222222</v>
      </c>
      <c r="C9" s="146" t="n">
        <v>55.55555555555556</v>
      </c>
      <c r="D9" s="147" t="n">
        <v>138.8888888888889</v>
      </c>
      <c r="E9" s="147" t="n">
        <v>277.7777777777778</v>
      </c>
      <c r="F9" s="147" t="n">
        <v>555.5555555555555</v>
      </c>
      <c r="G9" s="147" t="n">
        <v>833.3333333333334</v>
      </c>
    </row>
    <row r="10">
      <c r="A10" s="98" t="inlineStr">
        <is>
          <t>Feijão</t>
        </is>
      </c>
      <c r="B10" s="146" t="n">
        <v>22.22222222222222</v>
      </c>
      <c r="C10" s="146" t="n">
        <v>55.55555555555556</v>
      </c>
      <c r="D10" s="147" t="n">
        <v>138.8888888888889</v>
      </c>
      <c r="E10" s="147" t="n">
        <v>277.7777777777778</v>
      </c>
      <c r="F10" s="147" t="n">
        <v>555.5555555555555</v>
      </c>
      <c r="G10" s="147" t="n">
        <v>833.3333333333334</v>
      </c>
    </row>
    <row r="11">
      <c r="A11" s="98" t="inlineStr">
        <is>
          <t>Frutas e Verduras</t>
        </is>
      </c>
      <c r="B11" s="146" t="n">
        <v>22.22222222222222</v>
      </c>
      <c r="C11" s="146" t="n">
        <v>55.55555555555556</v>
      </c>
      <c r="D11" s="147" t="n">
        <v>138.8888888888889</v>
      </c>
      <c r="E11" s="147" t="n">
        <v>277.7777777777778</v>
      </c>
      <c r="F11" s="147" t="n">
        <v>555.5555555555555</v>
      </c>
      <c r="G11" s="147" t="n">
        <v>833.3333333333334</v>
      </c>
    </row>
    <row r="12">
      <c r="A12" s="98" t="inlineStr">
        <is>
          <t>Lacticínios e Ovos</t>
        </is>
      </c>
      <c r="B12" s="146" t="n">
        <v>22.22222222222222</v>
      </c>
      <c r="C12" s="146" t="n">
        <v>55.55555555555556</v>
      </c>
      <c r="D12" s="147" t="n">
        <v>138.8888888888889</v>
      </c>
      <c r="E12" s="147" t="n">
        <v>277.7777777777778</v>
      </c>
      <c r="F12" s="147" t="n">
        <v>555.5555555555555</v>
      </c>
      <c r="G12" s="147" t="n">
        <v>833.3333333333334</v>
      </c>
    </row>
    <row r="13">
      <c r="A13" s="98" t="inlineStr">
        <is>
          <t>Pão e Café</t>
        </is>
      </c>
      <c r="B13" s="146" t="n">
        <v>22.22222222222222</v>
      </c>
      <c r="C13" s="146" t="n">
        <v>55.55555555555556</v>
      </c>
      <c r="D13" s="147" t="n">
        <v>138.8888888888889</v>
      </c>
      <c r="E13" s="147" t="n">
        <v>277.7777777777778</v>
      </c>
      <c r="F13" s="147" t="n">
        <v>555.5555555555555</v>
      </c>
      <c r="G13" s="147" t="n">
        <v>833.3333333333334</v>
      </c>
    </row>
    <row r="14">
      <c r="A14" s="98" t="inlineStr">
        <is>
          <t>Outras compras</t>
        </is>
      </c>
      <c r="B14" s="146" t="n">
        <v>22.22222222222222</v>
      </c>
      <c r="C14" s="146" t="n">
        <v>55.55555555555556</v>
      </c>
      <c r="D14" s="147" t="n">
        <v>138.8888888888889</v>
      </c>
      <c r="E14" s="147" t="n">
        <v>277.7777777777778</v>
      </c>
      <c r="F14" s="147" t="n">
        <v>555.5555555555555</v>
      </c>
      <c r="G14" s="147" t="n">
        <v>833.3333333333334</v>
      </c>
    </row>
    <row r="15">
      <c r="A15" s="98" t="inlineStr">
        <is>
          <t>Combustível</t>
        </is>
      </c>
      <c r="B15" s="146" t="n">
        <v>22.22222222222222</v>
      </c>
      <c r="C15" s="146" t="n">
        <v>55.55555555555556</v>
      </c>
      <c r="D15" s="147" t="n">
        <v>138.8888888888889</v>
      </c>
      <c r="E15" s="147" t="n">
        <v>277.7777777777778</v>
      </c>
      <c r="F15" s="147" t="n">
        <v>555.5555555555555</v>
      </c>
      <c r="G15" s="147" t="n">
        <v>833.3333333333334</v>
      </c>
    </row>
    <row r="16">
      <c r="A16" s="98" t="inlineStr">
        <is>
          <t>IPVA e Licenciamento</t>
        </is>
      </c>
      <c r="B16" s="146" t="n">
        <v>22.22222222222222</v>
      </c>
      <c r="C16" s="146" t="n">
        <v>55.55555555555556</v>
      </c>
      <c r="D16" s="147" t="n">
        <v>138.8888888888889</v>
      </c>
      <c r="E16" s="147" t="n">
        <v>277.7777777777778</v>
      </c>
      <c r="F16" s="147" t="n">
        <v>555.5555555555555</v>
      </c>
      <c r="G16" s="147" t="n">
        <v>833.3333333333334</v>
      </c>
    </row>
    <row r="17">
      <c r="A17" s="98" t="inlineStr">
        <is>
          <t>Manutenção Moto</t>
        </is>
      </c>
      <c r="B17" s="146" t="n">
        <v>22.22222222222222</v>
      </c>
      <c r="C17" s="146" t="n">
        <v>55.55555555555556</v>
      </c>
      <c r="D17" s="147" t="n">
        <v>138.8888888888889</v>
      </c>
      <c r="E17" s="147" t="n">
        <v>277.7777777777778</v>
      </c>
      <c r="F17" s="147" t="n">
        <v>555.5555555555555</v>
      </c>
      <c r="G17" s="147" t="n">
        <v>833.3333333333334</v>
      </c>
    </row>
    <row r="18">
      <c r="A18" s="98" t="inlineStr">
        <is>
          <t>Medicamentos</t>
        </is>
      </c>
      <c r="B18" s="146" t="n">
        <v>22.22222222222222</v>
      </c>
      <c r="C18" s="146" t="n">
        <v>55.55555555555556</v>
      </c>
      <c r="D18" s="147" t="n">
        <v>138.8888888888889</v>
      </c>
      <c r="E18" s="147" t="n">
        <v>277.7777777777778</v>
      </c>
      <c r="F18" s="147" t="n">
        <v>555.5555555555555</v>
      </c>
      <c r="G18" s="147" t="n">
        <v>833.3333333333334</v>
      </c>
    </row>
    <row r="19">
      <c r="A19" s="98" t="inlineStr">
        <is>
          <t>Higiene Pessoal</t>
        </is>
      </c>
      <c r="B19" s="146" t="n">
        <v>22.22222222222222</v>
      </c>
      <c r="C19" s="146" t="n">
        <v>55.55555555555556</v>
      </c>
      <c r="D19" s="147" t="n">
        <v>138.8888888888889</v>
      </c>
      <c r="E19" s="147" t="n">
        <v>277.7777777777778</v>
      </c>
      <c r="F19" s="147" t="n">
        <v>555.5555555555555</v>
      </c>
      <c r="G19" s="147" t="n">
        <v>833.3333333333334</v>
      </c>
    </row>
    <row r="20">
      <c r="A20" s="98" t="n"/>
      <c r="B20" s="98" t="n"/>
      <c r="C20" s="98" t="n"/>
    </row>
    <row r="21">
      <c r="A21" s="95" t="n"/>
      <c r="B21" s="95" t="n"/>
      <c r="C21" s="95" t="n"/>
    </row>
    <row r="22">
      <c r="A22" s="95" t="n"/>
      <c r="B22" s="95" t="n"/>
      <c r="C22" s="95" t="n"/>
    </row>
    <row r="23">
      <c r="A23" s="95" t="n"/>
      <c r="B23" s="95" t="n"/>
      <c r="C23" s="95" t="n"/>
    </row>
    <row r="24">
      <c r="A24" s="95" t="inlineStr">
        <is>
          <t>Categoria</t>
        </is>
      </c>
      <c r="B24" s="145" t="inlineStr">
        <is>
          <t>Desejos - Estagiário (R$ 800)</t>
        </is>
      </c>
      <c r="C24" s="145" t="inlineStr">
        <is>
          <t>Desejos - Empregado (R$ 2000)</t>
        </is>
      </c>
      <c r="D24" s="145" t="inlineStr">
        <is>
          <t>Desejos - Progressão (R$ 5000)</t>
        </is>
      </c>
      <c r="E24" s="145" t="inlineStr">
        <is>
          <t>Desejos - Estável (R$ 10000)</t>
        </is>
      </c>
      <c r="F24" s="145" t="inlineStr">
        <is>
          <t>Desejos - Tô Ficando Bom (R$ 20000)</t>
        </is>
      </c>
      <c r="G24" s="145" t="inlineStr">
        <is>
          <t>Desejos - Agora Vai (R$ 30000)</t>
        </is>
      </c>
    </row>
    <row r="25">
      <c r="A25" s="99" t="inlineStr">
        <is>
          <t>Cinema e saídas</t>
        </is>
      </c>
      <c r="B25" s="148" t="n">
        <v>48</v>
      </c>
      <c r="C25" s="148" t="n">
        <v>120</v>
      </c>
      <c r="D25" s="147" t="n">
        <v>300</v>
      </c>
      <c r="E25" s="147" t="n">
        <v>600</v>
      </c>
      <c r="F25" s="147" t="n">
        <v>1200</v>
      </c>
      <c r="G25" s="147" t="n">
        <v>1800</v>
      </c>
    </row>
    <row r="26">
      <c r="A26" s="100" t="inlineStr">
        <is>
          <t>Comer fora</t>
        </is>
      </c>
      <c r="B26" s="149" t="n">
        <v>48</v>
      </c>
      <c r="C26" s="149" t="n">
        <v>120</v>
      </c>
      <c r="D26" s="147" t="n">
        <v>300</v>
      </c>
      <c r="E26" s="147" t="n">
        <v>600</v>
      </c>
      <c r="F26" s="147" t="n">
        <v>1200</v>
      </c>
      <c r="G26" s="147" t="n">
        <v>1800</v>
      </c>
    </row>
    <row r="27">
      <c r="A27" s="100" t="inlineStr">
        <is>
          <t>Assinaturas</t>
        </is>
      </c>
      <c r="B27" s="149" t="n">
        <v>48</v>
      </c>
      <c r="C27" s="149" t="n">
        <v>120</v>
      </c>
      <c r="D27" s="147" t="n">
        <v>300</v>
      </c>
      <c r="E27" s="147" t="n">
        <v>600</v>
      </c>
      <c r="F27" s="147" t="n">
        <v>1200</v>
      </c>
      <c r="G27" s="147" t="n">
        <v>1800</v>
      </c>
    </row>
    <row r="28">
      <c r="A28" s="100" t="inlineStr">
        <is>
          <t>Viagens curtas</t>
        </is>
      </c>
      <c r="B28" s="149" t="n">
        <v>48</v>
      </c>
      <c r="C28" s="149" t="n">
        <v>120</v>
      </c>
      <c r="D28" s="147" t="n">
        <v>300</v>
      </c>
      <c r="E28" s="147" t="n">
        <v>600</v>
      </c>
      <c r="F28" s="147" t="n">
        <v>1200</v>
      </c>
      <c r="G28" s="147" t="n">
        <v>1800</v>
      </c>
    </row>
    <row r="29">
      <c r="A29" s="100" t="inlineStr">
        <is>
          <t>Flexibilidades</t>
        </is>
      </c>
      <c r="B29" s="149" t="n">
        <v>48</v>
      </c>
      <c r="C29" s="149" t="n">
        <v>120</v>
      </c>
      <c r="D29" s="147" t="n">
        <v>300</v>
      </c>
      <c r="E29" s="147" t="n">
        <v>600</v>
      </c>
      <c r="F29" s="147" t="n">
        <v>1200</v>
      </c>
      <c r="G29" s="147" t="n">
        <v>1800</v>
      </c>
    </row>
    <row r="30">
      <c r="A30" s="100" t="inlineStr">
        <is>
          <t>Flexibilidades</t>
        </is>
      </c>
      <c r="B30" s="100" t="n">
        <v>80</v>
      </c>
      <c r="C30" s="100" t="n">
        <v>780.3099999999999</v>
      </c>
    </row>
    <row r="31">
      <c r="A31" s="100" t="n"/>
      <c r="B31" s="100" t="n"/>
      <c r="C31" s="100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topLeftCell="A2" workbookViewId="0">
      <selection activeCell="G48" sqref="G48"/>
    </sheetView>
  </sheetViews>
  <sheetFormatPr baseColWidth="8" defaultRowHeight="14.4"/>
  <cols>
    <col width="22.77734375" customWidth="1" min="1" max="1"/>
    <col width="25.77734375" customWidth="1" min="2" max="2"/>
  </cols>
  <sheetData>
    <row r="1">
      <c r="A1" t="inlineStr">
        <is>
          <t>Poupança - Estagiário (R$ 800)</t>
        </is>
      </c>
      <c r="B1" t="inlineStr">
        <is>
          <t>Poupança - Empregado (R$ 2000)</t>
        </is>
      </c>
      <c r="C1" t="inlineStr">
        <is>
          <t>Poupança - Progressão (R$ 5000)</t>
        </is>
      </c>
      <c r="D1" t="inlineStr">
        <is>
          <t>Poupança - Estável (R$ 10000)</t>
        </is>
      </c>
      <c r="E1" t="inlineStr">
        <is>
          <t>Poupança - Tô Ficando Bom (R$ 20000)</t>
        </is>
      </c>
      <c r="F1" t="inlineStr">
        <is>
          <t>Poupança - Agora Vai (R$ 30000)</t>
        </is>
      </c>
    </row>
    <row r="2">
      <c r="A2" s="147" t="n">
        <v>80</v>
      </c>
      <c r="B2" s="147" t="n">
        <v>200</v>
      </c>
      <c r="C2" s="147" t="n">
        <v>500</v>
      </c>
      <c r="D2" s="147" t="n">
        <v>1000</v>
      </c>
      <c r="E2" s="147" t="n">
        <v>2000</v>
      </c>
      <c r="F2" s="147" t="n">
        <v>3000</v>
      </c>
    </row>
    <row r="3">
      <c r="A3" s="147" t="n">
        <v>40</v>
      </c>
      <c r="B3" s="147" t="n">
        <v>100</v>
      </c>
      <c r="C3" s="147" t="n">
        <v>250</v>
      </c>
      <c r="D3" s="147" t="n">
        <v>500</v>
      </c>
      <c r="E3" s="147" t="n">
        <v>1000</v>
      </c>
      <c r="F3" s="147" t="n">
        <v>1500</v>
      </c>
    </row>
    <row r="4">
      <c r="A4" s="147" t="n">
        <v>40</v>
      </c>
      <c r="B4" s="147" t="n">
        <v>100</v>
      </c>
      <c r="C4" s="147" t="n">
        <v>250</v>
      </c>
      <c r="D4" s="147" t="n">
        <v>500</v>
      </c>
      <c r="E4" s="147" t="n">
        <v>1000</v>
      </c>
      <c r="F4" s="147" t="n">
        <v>1500</v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Mariana Bananal Costa E Silva</dc:creator>
  <dcterms:created xmlns:dcterms="http://purl.org/dc/terms/" xmlns:xsi="http://www.w3.org/2001/XMLSchema-instance" xsi:type="dcterms:W3CDTF">2023-07-28T20:19:15Z</dcterms:created>
  <dcterms:modified xmlns:dcterms="http://purl.org/dc/terms/" xmlns:xsi="http://www.w3.org/2001/XMLSchema-instance" xsi:type="dcterms:W3CDTF">2026-04-10T19:18:57Z</dcterms:modified>
  <cp:lastModifiedBy>PAOLA SOARES MACHADO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0x0101007F34981245222546BFFAAB0D6A8CFAB4</vt:lpwstr>
  </property>
  <property name="MediaServiceImageTags" fmtid="{D5CDD505-2E9C-101B-9397-08002B2CF9AE}" pid="3">
    <vt:lpwstr xmlns:vt="http://schemas.openxmlformats.org/officeDocument/2006/docPropsVTypes"/>
  </property>
  <property name="MSIP_Label_4fc996bf-6aee-415c-aa4c-e35ad0009c67_Enabled" fmtid="{D5CDD505-2E9C-101B-9397-08002B2CF9AE}" pid="4">
    <vt:lpwstr xmlns:vt="http://schemas.openxmlformats.org/officeDocument/2006/docPropsVTypes">true</vt:lpwstr>
  </property>
  <property name="MSIP_Label_4fc996bf-6aee-415c-aa4c-e35ad0009c67_SetDate" fmtid="{D5CDD505-2E9C-101B-9397-08002B2CF9AE}" pid="5">
    <vt:lpwstr xmlns:vt="http://schemas.openxmlformats.org/officeDocument/2006/docPropsVTypes">2023-10-04T17:23:36Z</vt:lpwstr>
  </property>
  <property name="MSIP_Label_4fc996bf-6aee-415c-aa4c-e35ad0009c67_Method" fmtid="{D5CDD505-2E9C-101B-9397-08002B2CF9AE}" pid="6">
    <vt:lpwstr xmlns:vt="http://schemas.openxmlformats.org/officeDocument/2006/docPropsVTypes">Standard</vt:lpwstr>
  </property>
  <property name="MSIP_Label_4fc996bf-6aee-415c-aa4c-e35ad0009c67_Name" fmtid="{D5CDD505-2E9C-101B-9397-08002B2CF9AE}" pid="7">
    <vt:lpwstr xmlns:vt="http://schemas.openxmlformats.org/officeDocument/2006/docPropsVTypes">Compartilhamento Interno</vt:lpwstr>
  </property>
  <property name="MSIP_Label_4fc996bf-6aee-415c-aa4c-e35ad0009c67_SiteId" fmtid="{D5CDD505-2E9C-101B-9397-08002B2CF9AE}" pid="8">
    <vt:lpwstr xmlns:vt="http://schemas.openxmlformats.org/officeDocument/2006/docPropsVTypes">591669a0-183f-49a5-98f4-9aa0d0b63d81</vt:lpwstr>
  </property>
  <property name="MSIP_Label_4fc996bf-6aee-415c-aa4c-e35ad0009c67_ActionId" fmtid="{D5CDD505-2E9C-101B-9397-08002B2CF9AE}" pid="9">
    <vt:lpwstr xmlns:vt="http://schemas.openxmlformats.org/officeDocument/2006/docPropsVTypes">fb2b20a2-9158-47de-8777-01ba5fb7c747</vt:lpwstr>
  </property>
  <property name="MSIP_Label_4fc996bf-6aee-415c-aa4c-e35ad0009c67_ContentBits" fmtid="{D5CDD505-2E9C-101B-9397-08002B2CF9AE}" pid="10">
    <vt:lpwstr xmlns:vt="http://schemas.openxmlformats.org/officeDocument/2006/docPropsVTypes">2</vt:lpwstr>
  </property>
</Properties>
</file>